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1120 Lauren way" sheetId="4" r:id="rId7"/>
    <sheet state="visible" name="115 Peachtree Memorial Drive" sheetId="5" r:id="rId8"/>
    <sheet state="visible" name="Totals" sheetId="6" r:id="rId9"/>
  </sheets>
  <definedNames/>
  <calcPr/>
</workbook>
</file>

<file path=xl/sharedStrings.xml><?xml version="1.0" encoding="utf-8"?>
<sst xmlns="http://schemas.openxmlformats.org/spreadsheetml/2006/main" count="90" uniqueCount="27">
  <si>
    <t>Line Item</t>
  </si>
  <si>
    <t>Debits</t>
  </si>
  <si>
    <t>Credits</t>
  </si>
  <si>
    <t>water/sewer 3 mths</t>
  </si>
  <si>
    <t>Gas</t>
  </si>
  <si>
    <t>Electricity</t>
  </si>
  <si>
    <t>yearly home  insurance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</si>
  <si>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</si>
  <si>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</si>
  <si>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</si>
  <si>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</si>
  <si>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</si>
  <si>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</si>
  <si>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 xml:space="preserve">pest control </t>
  </si>
  <si>
    <t>annual nest subscrip</t>
  </si>
  <si>
    <t>Total</t>
  </si>
  <si>
    <t>Net</t>
  </si>
  <si>
    <t>Republictrash</t>
  </si>
  <si>
    <t>electricity</t>
  </si>
  <si>
    <t xml:space="preserve">water jan to march </t>
  </si>
  <si>
    <t>hoa</t>
  </si>
  <si>
    <t>vinyl floors $1234</t>
  </si>
  <si>
    <t>mortgage</t>
  </si>
  <si>
    <t>Electricity/trash</t>
  </si>
  <si>
    <t>cobb water</t>
  </si>
  <si>
    <t>attorney eviction</t>
  </si>
  <si>
    <t xml:space="preserve">2019 assessment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</si>
</sst>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3</v>
      </c>
      <c r="B2" s="1">
        <v>61.55</v>
      </c>
    </row>
    <row r="3" ht="15.75" customHeight="1">
      <c r="A3" t="s">
        <v>4</v>
      </c>
      <c r="B3" s="1">
        <v>129.29</v>
      </c>
    </row>
    <row r="4" ht="15.75" customHeight="1">
      <c r="A4" t="s">
        <v>5</v>
      </c>
      <c r="B4" s="1">
        <v>147.67</v>
      </c>
    </row>
    <row r="5" ht="15.75" customHeight="1">
      <c r="A5" t="s">
        <v>6</v>
      </c>
    </row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4050.0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s="1" t="s">
        <v>14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388.51</v>
      </c>
      <c r="C15">
        <f t="shared" si="1"/>
        <v>4050</v>
      </c>
      <c r="D15">
        <f>C15-B15</f>
        <v>3661.49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>
      <c r="A21" s="2"/>
    </row>
    <row r="22" ht="15.75" customHeight="1"/>
    <row r="23" ht="15.75" customHeight="1">
      <c r="A23" s="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17</v>
      </c>
      <c r="B2" s="3">
        <v>78.21</v>
      </c>
    </row>
    <row r="3" ht="15.75" customHeight="1">
      <c r="A3" t="s">
        <v>4</v>
      </c>
      <c r="B3" s="1">
        <v>114.7</v>
      </c>
    </row>
    <row r="4" ht="15.75" customHeight="1">
      <c r="A4" s="1" t="s">
        <v>18</v>
      </c>
      <c r="B4" s="1">
        <v>153.06</v>
      </c>
    </row>
    <row r="5" ht="15.75" customHeight="1">
      <c r="A5" s="1" t="s">
        <v>19</v>
      </c>
      <c r="B5" s="1">
        <v>105.44</v>
      </c>
    </row>
    <row r="6" ht="15.75" customHeight="1">
      <c r="A6" t="s">
        <v>7</v>
      </c>
      <c r="B6" s="1">
        <v>117.13</v>
      </c>
    </row>
    <row r="7" ht="15.75" customHeight="1">
      <c r="A7" t="s">
        <v>8</v>
      </c>
    </row>
    <row r="8" ht="15.75" customHeight="1">
      <c r="A8" t="s">
        <v>9</v>
      </c>
      <c r="C8" s="1">
        <v>1750.0</v>
      </c>
    </row>
    <row r="9" ht="15.75" customHeight="1">
      <c r="A9" t="s">
        <v>10</v>
      </c>
      <c r="B9" s="1">
        <v>1234.0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20</v>
      </c>
    </row>
    <row r="14" ht="15.75" customHeight="1"/>
    <row r="15" ht="15.75" customHeight="1">
      <c r="B15" s="1">
        <v>1802.54</v>
      </c>
      <c r="C15" s="1">
        <v>1750.0</v>
      </c>
      <c r="D15" s="3">
        <v>-52.54</v>
      </c>
    </row>
    <row r="16" ht="15.75" customHeight="1"/>
    <row r="17" ht="15.75" customHeight="1">
      <c r="A17" s="1" t="s">
        <v>21</v>
      </c>
      <c r="D17" s="3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22</v>
      </c>
      <c r="B2" s="1">
        <v>919.0</v>
      </c>
    </row>
    <row r="3" ht="15.75" customHeight="1">
      <c r="A3" t="s">
        <v>4</v>
      </c>
      <c r="B3" s="1">
        <v>80.96</v>
      </c>
    </row>
    <row r="4" ht="15.75" customHeight="1">
      <c r="A4" t="s">
        <v>5</v>
      </c>
      <c r="B4" s="1">
        <v>74.61</v>
      </c>
    </row>
    <row r="5" ht="15.75" customHeight="1"/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2350.0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20</v>
      </c>
      <c r="B13" s="1">
        <v>125.0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1249.57</v>
      </c>
      <c r="C15">
        <f t="shared" si="1"/>
        <v>2350</v>
      </c>
      <c r="D15">
        <f>C15-B15</f>
        <v>1100.43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22</v>
      </c>
    </row>
    <row r="3" ht="15.75" customHeight="1">
      <c r="A3" t="s">
        <v>4</v>
      </c>
      <c r="B3" s="1">
        <v>129.89</v>
      </c>
    </row>
    <row r="4" ht="15.75" customHeight="1">
      <c r="A4" s="1" t="s">
        <v>23</v>
      </c>
      <c r="B4" s="1">
        <v>142.42</v>
      </c>
    </row>
    <row r="5" ht="15.75" customHeight="1">
      <c r="A5" s="1" t="s">
        <v>24</v>
      </c>
      <c r="B5" s="1">
        <v>44.09</v>
      </c>
    </row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1950.0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s="1" t="s">
        <v>25</v>
      </c>
      <c r="B13" s="1">
        <v>550.0</v>
      </c>
    </row>
    <row r="14" ht="15.75" customHeight="1">
      <c r="C14" t="s">
        <v>15</v>
      </c>
      <c r="D14" t="s">
        <v>16</v>
      </c>
    </row>
    <row r="15" ht="15.75" customHeight="1">
      <c r="B15" s="1">
        <v>916.4</v>
      </c>
      <c r="C15">
        <f>sum(C2:C13)</f>
        <v>1950</v>
      </c>
      <c r="D15" s="1">
        <v>1033.6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B1" t="s">
        <v>1</v>
      </c>
      <c r="C1" t="s">
        <v>2</v>
      </c>
    </row>
    <row r="2" ht="15.75" customHeight="1">
      <c r="A2" s="1" t="s">
        <v>26</v>
      </c>
      <c r="B2" s="1">
        <v>1000.0</v>
      </c>
    </row>
    <row r="3" ht="15.75" customHeight="1">
      <c r="A3" t="s">
        <v>4</v>
      </c>
    </row>
    <row r="4" ht="15.75" customHeight="1">
      <c r="A4" t="s">
        <v>5</v>
      </c>
      <c r="B4" s="1">
        <v>166.33</v>
      </c>
    </row>
    <row r="5" ht="15.75" customHeight="1"/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1750.0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20</v>
      </c>
      <c r="B13" s="1">
        <v>350.0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1566.33</v>
      </c>
      <c r="C15">
        <f t="shared" si="1"/>
        <v>1750</v>
      </c>
      <c r="D15">
        <f>C15-B15</f>
        <v>183.67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/>
    <row r="3" ht="15.75" customHeight="1">
      <c r="B3" t="s">
        <v>15</v>
      </c>
      <c r="C3" t="s">
        <v>15</v>
      </c>
      <c r="D3" t="s">
        <v>16</v>
      </c>
    </row>
    <row r="4" ht="15.75" customHeight="1">
      <c r="B4">
        <f>sum('260 East Taylors Crossing'!B15+'5525 Taylor Road'!B16+'4645 valais ct'!B15+'1120 Lauren way'!B15+'115 Peachtree Memorial Drive'!B15)</f>
        <v>4120.81</v>
      </c>
      <c r="C4">
        <f>sum('260 East Taylors Crossing'!C15+'5525 Taylor Road'!C16+'4645 valais ct'!C15+'1120 Lauren way'!C15+'115 Peachtree Memorial Drive'!C15)</f>
        <v>10100</v>
      </c>
      <c r="D4">
        <f>sum('260 East Taylors Crossing'!D15+'5525 Taylor Road'!D16+'4645 valais ct'!D15+'1120 Lauren way'!D15+'115 Peachtree Memorial Drive'!D15)</f>
        <v>5979.19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