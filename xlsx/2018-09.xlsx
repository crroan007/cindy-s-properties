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<sst xmlns="http://schemas.openxmlformats.org/spreadsheetml/2006/main" count="108" uniqueCount="39">
  <si>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</si>
  <si>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</si>
  <si>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</si>
  <si>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</si>
  <si>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</si>
  <si>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</si>
  <si>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</si>
  <si>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</si>
  <si>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</si>
  <si>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</si>
  <si>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</si>
  <si>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</si>
  <si>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</si>
  <si>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waste management </t>
  </si>
  <si>
    <t>annual nest subscrip</t>
  </si>
  <si>
    <t>Total</t>
  </si>
  <si>
    <t>Net</t>
  </si>
  <si>
    <t>water bill 7/24 - 9/21</t>
  </si>
  <si>
    <t>\</t>
  </si>
  <si>
    <t>mortgage</t>
  </si>
  <si>
    <t xml:space="preserve">water jan to march </t>
  </si>
  <si>
    <t xml:space="preserve">pest control </t>
  </si>
  <si>
    <t>hoa</t>
  </si>
  <si>
    <t xml:space="preserve">water account </t>
  </si>
  <si>
    <t>july 25th to 9/25</t>
  </si>
  <si>
    <t>plumbing leak 9/12/18</t>
  </si>
  <si>
    <t>cobb water</t>
  </si>
  <si>
    <t xml:space="preserve">pool service </t>
  </si>
  <si>
    <t>roof inspection</t>
  </si>
  <si>
    <t>pool salt $50</t>
  </si>
  <si>
    <t>Hersh Sept 3rd $500</t>
  </si>
  <si>
    <t>plus $250 deposit</t>
  </si>
  <si>
    <t>pool salt cell$240</t>
  </si>
  <si>
    <t>filter replace labour</t>
  </si>
  <si>
    <t>electricty $366.63</t>
  </si>
  <si>
    <t>trash $21.50</t>
  </si>
  <si>
    <t>rental $900 Julius</t>
  </si>
  <si>
    <t>Shawn $566 plus $400</t>
  </si>
  <si>
    <t>deposit 9/13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</si>
</sst>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  <c r="B2" s="1">
        <v>105.63</v>
      </c>
    </row>
    <row r="3" ht="15.75" customHeight="1">
      <c r="A3" t="s">
        <v>4</v>
      </c>
      <c r="B3" s="1">
        <v>38.17</v>
      </c>
    </row>
    <row r="4" ht="15.75" customHeight="1">
      <c r="A4" t="s">
        <v>5</v>
      </c>
      <c r="B4" s="1">
        <v>179.08</v>
      </c>
    </row>
    <row r="5" ht="15.75" customHeight="1">
      <c r="A5" t="s">
        <v>6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  <c r="B7" s="1">
        <v>50.0</v>
      </c>
    </row>
    <row r="8" ht="15.75" customHeight="1">
      <c r="A8" t="s">
        <v>9</v>
      </c>
      <c r="C8" s="1">
        <v>4050.0</v>
      </c>
    </row>
    <row r="9" ht="15.75" customHeight="1">
      <c r="A9" t="s">
        <v>10</v>
      </c>
      <c r="B9" s="1"/>
    </row>
    <row r="10" ht="15.75" customHeight="1">
      <c r="A10" t="s">
        <v>11</v>
      </c>
    </row>
    <row r="11" ht="15.75" customHeight="1">
      <c r="A11" t="s">
        <v>12</v>
      </c>
      <c r="B11" s="1"/>
    </row>
    <row r="12" ht="15.75" customHeight="1">
      <c r="A12" s="1" t="s">
        <v>13</v>
      </c>
      <c r="B12" s="2">
        <v>58.97</v>
      </c>
    </row>
    <row r="13" ht="15.75" customHeight="1">
      <c r="A13" s="1" t="s">
        <v>14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481.85</v>
      </c>
      <c r="C15">
        <f t="shared" si="1"/>
        <v>4050</v>
      </c>
      <c r="D15">
        <f t="shared" ref="D15:D16" si="2">C15-B15</f>
        <v>3568.15</v>
      </c>
    </row>
    <row r="16" ht="15.75" customHeight="1">
      <c r="D16">
        <f t="shared" si="2"/>
        <v>0</v>
      </c>
    </row>
    <row r="17" ht="15.75" customHeight="1"/>
    <row r="18" ht="15.75" customHeight="1">
      <c r="A18" s="1" t="s">
        <v>17</v>
      </c>
    </row>
    <row r="19" ht="15.75" customHeight="1"/>
    <row r="20" ht="15.75" customHeight="1"/>
    <row r="21" ht="15.75" customHeight="1">
      <c r="A21" s="3" t="s">
        <v>18</v>
      </c>
    </row>
    <row r="22" ht="15.75" customHeight="1"/>
    <row r="23" ht="15.75" customHeight="1">
      <c r="A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19</v>
      </c>
    </row>
    <row r="3" ht="15.75" customHeight="1">
      <c r="A3" t="s">
        <v>4</v>
      </c>
      <c r="B3" s="1">
        <v>35.97</v>
      </c>
    </row>
    <row r="4" ht="15.75" customHeight="1">
      <c r="A4" t="s">
        <v>5</v>
      </c>
      <c r="B4" s="1">
        <v>153.69</v>
      </c>
    </row>
    <row r="5" ht="15.75" customHeight="1">
      <c r="A5" s="1" t="s">
        <v>20</v>
      </c>
      <c r="B5" s="1">
        <v>85.38</v>
      </c>
    </row>
    <row r="6" ht="15.75" customHeight="1">
      <c r="A6" t="s">
        <v>7</v>
      </c>
      <c r="B6" s="1">
        <v>164.68</v>
      </c>
    </row>
    <row r="7" ht="15.75" customHeight="1">
      <c r="A7" t="s">
        <v>8</v>
      </c>
      <c r="B7" s="1">
        <v>50.0</v>
      </c>
    </row>
    <row r="8" ht="15.75" customHeight="1">
      <c r="A8" t="s">
        <v>9</v>
      </c>
      <c r="C8" s="1">
        <v>1450.0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21</v>
      </c>
    </row>
    <row r="13" ht="15.75" customHeight="1">
      <c r="A13" t="s">
        <v>22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 s="1">
        <v>489.72</v>
      </c>
      <c r="C16">
        <f>sum(C3:C14)</f>
        <v>1450</v>
      </c>
      <c r="D16">
        <f>C16-B16</f>
        <v>960.28</v>
      </c>
    </row>
    <row r="17" ht="15.75" customHeight="1"/>
    <row r="18" ht="15.75" customHeight="1">
      <c r="A18" s="1" t="s">
        <v>23</v>
      </c>
    </row>
    <row r="19" ht="15.75" customHeight="1">
      <c r="A19" s="1" t="s">
        <v>24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19</v>
      </c>
      <c r="B2" s="1">
        <v>919.0</v>
      </c>
    </row>
    <row r="3" ht="15.75" customHeight="1">
      <c r="A3" t="s">
        <v>4</v>
      </c>
      <c r="B3" s="1">
        <v>35.07</v>
      </c>
    </row>
    <row r="4" ht="15.75" customHeight="1">
      <c r="A4" t="s">
        <v>5</v>
      </c>
      <c r="B4" s="1">
        <v>112.72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  <c r="B9" s="1">
        <v>100.0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21</v>
      </c>
    </row>
    <row r="13" ht="15.75" customHeight="1">
      <c r="A13" t="s">
        <v>22</v>
      </c>
      <c r="B13" s="1">
        <v>125.0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1341.79</v>
      </c>
      <c r="C15">
        <f t="shared" si="1"/>
        <v>2350</v>
      </c>
      <c r="D15">
        <f>C15-B15</f>
        <v>1008.21</v>
      </c>
    </row>
    <row r="16" ht="15.75" customHeight="1"/>
    <row r="17" ht="15.75" customHeight="1">
      <c r="A17" s="1" t="s">
        <v>25</v>
      </c>
    </row>
    <row r="18" ht="15.75" customHeight="1">
      <c r="A18" s="3">
        <v>100.0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19</v>
      </c>
    </row>
    <row r="3" ht="15.75" customHeight="1">
      <c r="A3" t="s">
        <v>4</v>
      </c>
      <c r="B3" s="1">
        <v>38.86</v>
      </c>
    </row>
    <row r="4" ht="15.75" customHeight="1">
      <c r="A4" t="s">
        <v>5</v>
      </c>
      <c r="B4" s="1">
        <v>416.94</v>
      </c>
    </row>
    <row r="5" ht="15.75" customHeight="1">
      <c r="A5" s="1" t="s">
        <v>26</v>
      </c>
      <c r="B5" s="1">
        <v>149.19</v>
      </c>
    </row>
    <row r="6" ht="15.75" customHeight="1">
      <c r="A6" t="s">
        <v>7</v>
      </c>
      <c r="B6" s="1">
        <v>44.99</v>
      </c>
    </row>
    <row r="7" ht="15.75" customHeight="1">
      <c r="A7" t="s">
        <v>8</v>
      </c>
    </row>
    <row r="8" ht="15.75" customHeight="1">
      <c r="A8" t="s">
        <v>9</v>
      </c>
      <c r="C8" s="1">
        <v>1077.6</v>
      </c>
    </row>
    <row r="9" ht="15.75" customHeight="1">
      <c r="A9" t="s">
        <v>10</v>
      </c>
    </row>
    <row r="10" ht="15.75" customHeight="1">
      <c r="A10" s="1" t="s">
        <v>27</v>
      </c>
      <c r="B10" s="1">
        <v>347.5</v>
      </c>
    </row>
    <row r="11" ht="15.75" customHeight="1">
      <c r="A11" t="s">
        <v>12</v>
      </c>
      <c r="B11" s="1">
        <v>385.0</v>
      </c>
    </row>
    <row r="12" ht="15.75" customHeight="1">
      <c r="A12" t="s">
        <v>21</v>
      </c>
    </row>
    <row r="13" ht="15.75" customHeight="1">
      <c r="A13" s="1" t="s">
        <v>28</v>
      </c>
      <c r="B13" s="1">
        <v>150.0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1532.48</v>
      </c>
      <c r="C15">
        <f t="shared" si="1"/>
        <v>1077.6</v>
      </c>
      <c r="D15">
        <f>C15-B15</f>
        <v>-454.88</v>
      </c>
    </row>
    <row r="16" ht="15.75" customHeight="1"/>
    <row r="17" ht="15.75" customHeight="1">
      <c r="A17" s="1" t="s">
        <v>29</v>
      </c>
    </row>
    <row r="18" ht="15.75" customHeight="1">
      <c r="A18" s="1" t="s">
        <v>30</v>
      </c>
    </row>
    <row r="19" ht="15.75" customHeight="1">
      <c r="A19" s="1" t="s">
        <v>31</v>
      </c>
    </row>
    <row r="20" ht="15.75" customHeight="1">
      <c r="A20" s="1" t="s">
        <v>32</v>
      </c>
    </row>
    <row r="21" ht="15.75" customHeight="1">
      <c r="A21" s="1" t="s">
        <v>33</v>
      </c>
    </row>
    <row r="22" ht="15.75" customHeight="1">
      <c r="A22" s="3">
        <v>95.0</v>
      </c>
    </row>
    <row r="23" ht="15.75" customHeight="1">
      <c r="A23" s="1" t="s">
        <v>34</v>
      </c>
    </row>
    <row r="24" ht="15.75" customHeight="1">
      <c r="A24" s="1" t="s">
        <v>35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19</v>
      </c>
    </row>
    <row r="3" ht="15.75" customHeight="1">
      <c r="A3" t="s">
        <v>4</v>
      </c>
    </row>
    <row r="4" ht="15.75" customHeight="1">
      <c r="A4" t="s">
        <v>5</v>
      </c>
      <c r="B4" s="1">
        <v>26.25</v>
      </c>
    </row>
    <row r="5" ht="15.75" customHeight="1"/>
    <row r="6" ht="15.75" customHeight="1">
      <c r="A6" t="s">
        <v>7</v>
      </c>
      <c r="B6" s="1">
        <v>40.0</v>
      </c>
    </row>
    <row r="7" ht="15.75" customHeight="1">
      <c r="A7" t="s">
        <v>8</v>
      </c>
    </row>
    <row r="8" ht="15.75" customHeight="1">
      <c r="A8" t="s">
        <v>9</v>
      </c>
      <c r="C8" s="1">
        <v>1466.66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21</v>
      </c>
    </row>
    <row r="13" ht="15.75" customHeight="1">
      <c r="A13" t="s">
        <v>22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1">
        <v>416.25</v>
      </c>
      <c r="C15">
        <f>sum(C2:C13)</f>
        <v>1466.66</v>
      </c>
      <c r="D15">
        <f>C15-B15</f>
        <v>1050.41</v>
      </c>
    </row>
    <row r="16" ht="15.75" customHeight="1"/>
    <row r="17" ht="15.75" customHeight="1">
      <c r="A17" s="1" t="s">
        <v>36</v>
      </c>
    </row>
    <row r="18" ht="15.75" customHeight="1">
      <c r="A18" s="1" t="s">
        <v>37</v>
      </c>
    </row>
    <row r="19" ht="15.75" customHeight="1">
      <c r="A19" s="1" t="s">
        <v>38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4262.09</v>
      </c>
      <c r="C4">
        <f>sum('260 East Taylors Crossing'!C15+'5525 Taylor Road'!C16+'4645 valais ct'!C15+'1120 Lauren way'!C15+'115 Peachtree Memorial Drive'!C15)</f>
        <v>10394.26</v>
      </c>
      <c r="D4">
        <f>sum('260 East Taylors Crossing'!D15+'5525 Taylor Road'!D16+'4645 valais ct'!D15+'1120 Lauren way'!D15+'115 Peachtree Memorial Drive'!D15)</f>
        <v>6132.17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