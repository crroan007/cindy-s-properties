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<sst xmlns="http://schemas.openxmlformats.org/spreadsheetml/2006/main" count="59" uniqueCount="18">
  <si>
    <t>Line Item</t>
  </si>
  <si>
    <t>Debits</t>
  </si>
  <si>
    <t>Credits</t>
  </si>
  <si>
    <t>mortgage</t>
  </si>
  <si>
    <t>Gas</t>
  </si>
  <si>
    <t>Electricity</t>
  </si>
  <si>
    <t>water 3 months janmar                 43.24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</si>
  <si>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</si>
  <si>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</si>
  <si>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</si>
  <si>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</si>
  <si>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</si>
  <si>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</si>
  <si>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</si>
  <si>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hoa</t>
  </si>
  <si>
    <t>Total</t>
  </si>
  <si>
    <t>Net</t>
  </si>
  <si>
    <t xml:space="preserve">water jan to march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</si>
</sst>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83.26</v>
      </c>
    </row>
    <row r="4">
      <c r="A4" s="1" t="s">
        <v>5</v>
      </c>
      <c r="B4" s="1">
        <v>51.42</v>
      </c>
    </row>
    <row r="5">
      <c r="A5" s="1" t="s">
        <v>6</v>
      </c>
    </row>
    <row r="6">
      <c r="A6" s="1" t="s">
        <v>7</v>
      </c>
      <c r="B6" s="1">
        <v>59.99</v>
      </c>
    </row>
    <row r="7">
      <c r="A7" s="1" t="s">
        <v>8</v>
      </c>
    </row>
    <row r="8">
      <c r="A8" s="1" t="s">
        <v>9</v>
      </c>
      <c r="C8" s="1">
        <v>1120.0</v>
      </c>
    </row>
    <row r="9">
      <c r="A9" s="1" t="s">
        <v>10</v>
      </c>
      <c r="B9" s="1">
        <v>160.0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354.67</v>
      </c>
      <c r="C15" s="1">
        <f t="shared" si="1"/>
        <v>1120</v>
      </c>
      <c r="D15" s="1">
        <f>C15-B15</f>
        <v>765.33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64.64</v>
      </c>
    </row>
    <row r="4">
      <c r="A4" s="1" t="s">
        <v>5</v>
      </c>
      <c r="B4" s="1">
        <v>106.62</v>
      </c>
    </row>
    <row r="5">
      <c r="A5" s="1" t="s">
        <v>17</v>
      </c>
      <c r="B5" s="1">
        <v>152.57</v>
      </c>
    </row>
    <row r="6">
      <c r="A6" s="1" t="s">
        <v>7</v>
      </c>
      <c r="B6" s="1">
        <v>166.48</v>
      </c>
    </row>
    <row r="7">
      <c r="A7" s="1" t="s">
        <v>8</v>
      </c>
    </row>
    <row r="8">
      <c r="A8" s="1" t="s">
        <v>9</v>
      </c>
      <c r="C8" s="1">
        <v>1825.0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>
        <v>32.0</v>
      </c>
    </row>
    <row r="12">
      <c r="A12" s="1" t="s">
        <v>13</v>
      </c>
      <c r="B12" s="1">
        <v>139.0</v>
      </c>
    </row>
    <row r="13">
      <c r="A13" s="1" t="s">
        <v>14</v>
      </c>
    </row>
    <row r="14">
      <c r="A14" s="1"/>
    </row>
    <row r="15">
      <c r="B15" s="1" t="s">
        <v>15</v>
      </c>
      <c r="C15" s="1" t="s">
        <v>15</v>
      </c>
      <c r="D15" s="1" t="s">
        <v>16</v>
      </c>
    </row>
    <row r="16">
      <c r="B16" s="1">
        <f t="shared" ref="B16:C16" si="1">sum(B3:B14)</f>
        <v>661.31</v>
      </c>
      <c r="C16" s="1">
        <f t="shared" si="1"/>
        <v>1825</v>
      </c>
      <c r="D16" s="1">
        <f>C16-B16</f>
        <v>1163.69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819.0</v>
      </c>
    </row>
    <row r="3">
      <c r="A3" s="1" t="s">
        <v>4</v>
      </c>
      <c r="B3" s="1">
        <v>61.85</v>
      </c>
    </row>
    <row r="4">
      <c r="A4" s="1" t="s">
        <v>5</v>
      </c>
      <c r="B4" s="1">
        <v>54.23</v>
      </c>
    </row>
    <row r="5">
      <c r="A5" s="1"/>
    </row>
    <row r="6">
      <c r="A6" s="1" t="s">
        <v>7</v>
      </c>
      <c r="B6" s="1">
        <v>59.99</v>
      </c>
      <c r="C6" s="1"/>
    </row>
    <row r="7">
      <c r="A7" s="1" t="s">
        <v>8</v>
      </c>
    </row>
    <row r="8">
      <c r="A8" s="1" t="s">
        <v>9</v>
      </c>
      <c r="C8" s="1">
        <v>1650.0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>
        <v>10.0</v>
      </c>
    </row>
    <row r="12">
      <c r="A12" s="1" t="s">
        <v>13</v>
      </c>
      <c r="B12" s="1"/>
    </row>
    <row r="13">
      <c r="A13" s="1" t="s">
        <v>14</v>
      </c>
      <c r="B13" s="1">
        <v>125.0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1130.07</v>
      </c>
      <c r="C15" s="1">
        <f t="shared" si="1"/>
        <v>1650</v>
      </c>
      <c r="D15" s="1">
        <f>C15-B15</f>
        <v>519.93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15</v>
      </c>
      <c r="C3" s="1" t="s">
        <v>15</v>
      </c>
      <c r="D3" s="1" t="s">
        <v>16</v>
      </c>
    </row>
    <row r="4">
      <c r="B4">
        <f>'260 East Taylors Crossing'!B15+'5525 Taylor Road'!B16+'4645 valais ct'!B15</f>
        <v>2146.05</v>
      </c>
      <c r="C4">
        <f>'260 East Taylors Crossing'!C15+'5525 Taylor Road'!C16+'4645 valais ct'!C15</f>
        <v>4595</v>
      </c>
      <c r="D4">
        <f>C4-B4</f>
        <v>2448.95</v>
      </c>
    </row>
  </sheetData>
  <drawing r:id="rId1"/>
</worksheet>
</file>