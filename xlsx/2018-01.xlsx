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<sst xmlns="http://schemas.openxmlformats.org/spreadsheetml/2006/main" count="105" uniqueCount="41">
  <si>
    <t>Line Item</t>
  </si>
  <si>
    <t>Debits</t>
  </si>
  <si>
    <t>Credits</t>
  </si>
  <si>
    <t>mortgage</t>
  </si>
  <si>
    <t>Gas paid $28.79 addit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</si>
  <si>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</si>
  <si>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</si>
  <si>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</si>
  <si>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</si>
  <si>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</si>
  <si>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</si>
  <si>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</si>
  <si>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</si>
  <si>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>land survey</t>
  </si>
  <si>
    <t>waste mgmt</t>
  </si>
  <si>
    <t>total</t>
  </si>
  <si>
    <t>Total</t>
  </si>
  <si>
    <t>Net</t>
  </si>
  <si>
    <t>1/29 Land surveyor</t>
  </si>
  <si>
    <t xml:space="preserve">Basement doors </t>
  </si>
  <si>
    <t>2 vanity cabinets</t>
  </si>
  <si>
    <t>Gas</t>
  </si>
  <si>
    <t>water/sewer</t>
  </si>
  <si>
    <t xml:space="preserve">pest control </t>
  </si>
  <si>
    <t xml:space="preserve"> hoa per year</t>
  </si>
  <si>
    <t>hoa</t>
  </si>
  <si>
    <t>Gas ( Scana )</t>
  </si>
  <si>
    <t>Electricity/trash</t>
  </si>
  <si>
    <t xml:space="preserve">new windows </t>
  </si>
  <si>
    <t>scana energy</t>
  </si>
  <si>
    <t>water</t>
  </si>
  <si>
    <t>Maintenance free new</t>
  </si>
  <si>
    <t>windows  JAN 2018</t>
  </si>
  <si>
    <t>deposit $1500</t>
  </si>
  <si>
    <t xml:space="preserve">balance $3500 </t>
  </si>
  <si>
    <t>total $5083.00</t>
  </si>
  <si>
    <t>cobb county water</t>
  </si>
  <si>
    <t>acworth power/trash</t>
  </si>
  <si>
    <t>gas scana energy</t>
  </si>
  <si>
    <t>paid 1/30</t>
  </si>
  <si>
    <t>balance windows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</si>
</sst>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  <c r="B2" s="1"/>
    </row>
    <row r="3" ht="15.75" customHeight="1">
      <c r="A3" s="1" t="s">
        <v>4</v>
      </c>
      <c r="B3" s="1">
        <v>145.61</v>
      </c>
    </row>
    <row r="4" ht="15.75" customHeight="1">
      <c r="A4" t="s">
        <v>5</v>
      </c>
      <c r="B4" s="1">
        <v>80.11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450.0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  <c r="B9" s="1">
        <v>60.0</v>
      </c>
    </row>
    <row r="10" ht="15.75" customHeight="1">
      <c r="A10" t="s">
        <v>11</v>
      </c>
      <c r="B10" s="1">
        <v>397.45</v>
      </c>
    </row>
    <row r="11" ht="15.75" customHeight="1">
      <c r="A11" t="s">
        <v>12</v>
      </c>
    </row>
    <row r="12" ht="15.75" customHeight="1">
      <c r="A12" s="1" t="s">
        <v>13</v>
      </c>
      <c r="B12" s="2">
        <v>325.0</v>
      </c>
    </row>
    <row r="13" ht="15.75" customHeight="1">
      <c r="A13" s="1" t="s">
        <v>14</v>
      </c>
      <c r="B13" s="1">
        <v>55.62</v>
      </c>
    </row>
    <row r="14" ht="15.75" customHeight="1">
      <c r="B14" s="1" t="s">
        <v>15</v>
      </c>
      <c r="C14" t="s">
        <v>16</v>
      </c>
      <c r="D14" t="s">
        <v>17</v>
      </c>
    </row>
    <row r="15" ht="15.75" customHeight="1">
      <c r="B15">
        <f t="shared" ref="B15:C15" si="1">sum(B2:B13)</f>
        <v>1563.79</v>
      </c>
      <c r="C15">
        <f t="shared" si="1"/>
        <v>1750</v>
      </c>
      <c r="D15">
        <f>C15-B15</f>
        <v>186.21</v>
      </c>
    </row>
    <row r="16" ht="15.75" customHeight="1"/>
    <row r="17" ht="15.75" customHeight="1"/>
    <row r="18" ht="15.75" customHeight="1"/>
    <row r="19" ht="15.75" customHeight="1">
      <c r="A19" s="1" t="s">
        <v>18</v>
      </c>
    </row>
    <row r="20" ht="15.75" customHeight="1">
      <c r="A20" s="2">
        <v>325.0</v>
      </c>
    </row>
    <row r="21" ht="15.75" customHeight="1">
      <c r="A21" s="1" t="s">
        <v>19</v>
      </c>
    </row>
    <row r="22" ht="15.75" customHeight="1">
      <c r="A22" s="3">
        <v>397.45</v>
      </c>
    </row>
    <row r="23" ht="15.75" customHeight="1">
      <c r="A23" s="1" t="s">
        <v>20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</row>
    <row r="3" ht="15.75" customHeight="1">
      <c r="A3" t="s">
        <v>21</v>
      </c>
      <c r="B3" s="1">
        <v>124.93</v>
      </c>
    </row>
    <row r="4" ht="15.75" customHeight="1">
      <c r="A4" t="s">
        <v>5</v>
      </c>
      <c r="B4" s="1">
        <v>126.93</v>
      </c>
    </row>
    <row r="5" ht="15.75" customHeight="1">
      <c r="A5" s="1" t="s">
        <v>22</v>
      </c>
      <c r="B5" s="1">
        <v>45.28</v>
      </c>
    </row>
    <row r="6" ht="15.75" customHeight="1">
      <c r="A6" t="s">
        <v>7</v>
      </c>
      <c r="B6" s="1">
        <v>160.76</v>
      </c>
    </row>
    <row r="7" ht="15.75" customHeight="1">
      <c r="A7" t="s">
        <v>8</v>
      </c>
      <c r="B7" s="1">
        <v>37.05</v>
      </c>
    </row>
    <row r="8" ht="15.75" customHeight="1">
      <c r="A8" t="s">
        <v>9</v>
      </c>
      <c r="B8" s="1"/>
      <c r="C8" s="1">
        <v>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23</v>
      </c>
    </row>
    <row r="13" ht="15.75" customHeight="1">
      <c r="A13" s="1" t="s">
        <v>24</v>
      </c>
      <c r="B13" s="1">
        <v>250.0</v>
      </c>
    </row>
    <row r="14" ht="15.75" customHeight="1"/>
    <row r="15" ht="15.75" customHeight="1">
      <c r="B15" t="s">
        <v>16</v>
      </c>
      <c r="C15" t="s">
        <v>16</v>
      </c>
      <c r="D15" t="s">
        <v>17</v>
      </c>
    </row>
    <row r="16" ht="15.75" customHeight="1">
      <c r="B16">
        <f t="shared" ref="B16:C16" si="1">sum(B3:B14)</f>
        <v>744.95</v>
      </c>
      <c r="C16">
        <f t="shared" si="1"/>
        <v>900</v>
      </c>
      <c r="D16">
        <f>C16-B16</f>
        <v>155.05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  <c r="B2" s="1">
        <v>813.0</v>
      </c>
    </row>
    <row r="3" ht="15.75" customHeight="1">
      <c r="A3" t="s">
        <v>21</v>
      </c>
      <c r="B3" s="1">
        <v>85.19</v>
      </c>
    </row>
    <row r="4" ht="15.75" customHeight="1">
      <c r="A4" t="s">
        <v>5</v>
      </c>
      <c r="B4" s="1">
        <v>72.0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1650.0</v>
      </c>
    </row>
    <row r="9" ht="15.75" customHeight="1">
      <c r="A9" t="s">
        <v>10</v>
      </c>
    </row>
    <row r="10" ht="15.75" customHeight="1">
      <c r="A10" t="s">
        <v>11</v>
      </c>
      <c r="C10" s="1"/>
    </row>
    <row r="11" ht="15.75" customHeight="1">
      <c r="A11" t="s">
        <v>12</v>
      </c>
      <c r="B11" s="1"/>
    </row>
    <row r="12" ht="15.75" customHeight="1">
      <c r="A12" t="s">
        <v>23</v>
      </c>
    </row>
    <row r="13" ht="15.75" customHeight="1">
      <c r="A13" t="s">
        <v>25</v>
      </c>
      <c r="B13" s="1">
        <v>125.0</v>
      </c>
    </row>
    <row r="14" ht="15.75" customHeight="1">
      <c r="B14" t="s">
        <v>16</v>
      </c>
      <c r="C14" t="s">
        <v>16</v>
      </c>
      <c r="D14" t="s">
        <v>17</v>
      </c>
    </row>
    <row r="15" ht="15.75" customHeight="1">
      <c r="B15">
        <f t="shared" ref="B15:C15" si="1">sum(B2:B13)</f>
        <v>1145.19</v>
      </c>
      <c r="C15">
        <f t="shared" si="1"/>
        <v>1650</v>
      </c>
      <c r="D15">
        <f>C15-B15</f>
        <v>504.81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  <c r="B2" s="1">
        <v>896.0</v>
      </c>
    </row>
    <row r="3" ht="15.75" customHeight="1">
      <c r="A3" s="1" t="s">
        <v>26</v>
      </c>
      <c r="B3" s="1">
        <v>225.53</v>
      </c>
    </row>
    <row r="4" ht="15.75" customHeight="1">
      <c r="A4" s="1" t="s">
        <v>27</v>
      </c>
      <c r="B4" s="1">
        <v>150.14</v>
      </c>
    </row>
    <row r="5" ht="15.75" customHeight="1"/>
    <row r="6" ht="15.75" customHeight="1">
      <c r="A6" t="s">
        <v>7</v>
      </c>
      <c r="B6" s="1">
        <v>44.99</v>
      </c>
    </row>
    <row r="7" ht="15.75" customHeight="1">
      <c r="A7" t="s">
        <v>8</v>
      </c>
      <c r="B7" s="1">
        <v>85.0</v>
      </c>
    </row>
    <row r="8" ht="15.75" customHeight="1">
      <c r="A8" t="s">
        <v>9</v>
      </c>
      <c r="C8" s="1">
        <v>1237.0</v>
      </c>
    </row>
    <row r="9" ht="15.75" customHeight="1">
      <c r="A9" s="1" t="s">
        <v>28</v>
      </c>
      <c r="B9" s="2">
        <v>5083.0</v>
      </c>
    </row>
    <row r="10" ht="15.75" customHeight="1">
      <c r="A10" s="1" t="s">
        <v>29</v>
      </c>
      <c r="B10" s="1"/>
      <c r="C10" s="1"/>
    </row>
    <row r="11" ht="15.75" customHeight="1">
      <c r="A11" t="s">
        <v>12</v>
      </c>
    </row>
    <row r="12" ht="15.75" customHeight="1">
      <c r="A12" t="s">
        <v>23</v>
      </c>
      <c r="B12" s="1"/>
    </row>
    <row r="13" ht="15.75" customHeight="1">
      <c r="A13" s="1" t="s">
        <v>30</v>
      </c>
      <c r="B13" s="1">
        <v>151.92</v>
      </c>
    </row>
    <row r="14" ht="15.75" customHeight="1">
      <c r="B14" t="s">
        <v>16</v>
      </c>
      <c r="C14" t="s">
        <v>16</v>
      </c>
      <c r="D14" t="s">
        <v>17</v>
      </c>
    </row>
    <row r="15" ht="15.75" customHeight="1">
      <c r="B15">
        <f t="shared" ref="B15:C15" si="1">sum(B2:B13)</f>
        <v>6636.58</v>
      </c>
      <c r="C15">
        <f t="shared" si="1"/>
        <v>1237</v>
      </c>
      <c r="D15">
        <f>C15-B15</f>
        <v>-5399.58</v>
      </c>
    </row>
    <row r="16" ht="15.75" customHeight="1"/>
    <row r="17" ht="15.75" customHeight="1"/>
    <row r="18" ht="15.75" customHeight="1">
      <c r="A18" s="1" t="s">
        <v>31</v>
      </c>
    </row>
    <row r="19" ht="15.75" customHeight="1">
      <c r="A19" s="1" t="s">
        <v>32</v>
      </c>
    </row>
    <row r="20" ht="15.75" customHeight="1">
      <c r="A20" s="1" t="s">
        <v>33</v>
      </c>
    </row>
    <row r="21" ht="15.75" customHeight="1">
      <c r="A21" s="1" t="s">
        <v>34</v>
      </c>
    </row>
    <row r="22" ht="15.75" customHeight="1">
      <c r="A22" s="1" t="s">
        <v>35</v>
      </c>
    </row>
    <row r="23" ht="15.75" customHeight="1"/>
    <row r="24" ht="15.75" customHeight="1">
      <c r="A24" s="1" t="s">
        <v>36</v>
      </c>
    </row>
    <row r="25" ht="15.75" customHeight="1">
      <c r="A25" s="1" t="s">
        <v>37</v>
      </c>
    </row>
    <row r="26" ht="15.75" customHeight="1">
      <c r="A26" s="1" t="s">
        <v>38</v>
      </c>
    </row>
    <row r="27" ht="15.75" customHeight="1"/>
    <row r="28" ht="15.75" customHeight="1">
      <c r="A28" s="1" t="s">
        <v>39</v>
      </c>
    </row>
    <row r="29" ht="15.75" customHeight="1">
      <c r="A29" s="1" t="s">
        <v>40</v>
      </c>
    </row>
    <row r="30" ht="15.75" customHeight="1">
      <c r="A30" s="2">
        <v>3563.84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</row>
    <row r="3" ht="15.75" customHeight="1"/>
    <row r="4" ht="15.75" customHeight="1">
      <c r="A4" t="s">
        <v>5</v>
      </c>
      <c r="B4" s="1">
        <v>181.32</v>
      </c>
    </row>
    <row r="5" ht="15.75" customHeight="1">
      <c r="A5" s="1"/>
      <c r="B5" s="1"/>
    </row>
    <row r="6" ht="15.75" customHeight="1">
      <c r="A6" t="s">
        <v>7</v>
      </c>
      <c r="B6" s="1">
        <v>40.0</v>
      </c>
    </row>
    <row r="7" ht="15.75" customHeight="1">
      <c r="A7" t="s">
        <v>8</v>
      </c>
    </row>
    <row r="8" ht="15.75" customHeight="1">
      <c r="A8" t="s">
        <v>9</v>
      </c>
      <c r="C8" s="1">
        <v>1498.73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  <c r="B11" s="1"/>
      <c r="C11" s="1">
        <v>1.0</v>
      </c>
    </row>
    <row r="12" ht="15.75" customHeight="1">
      <c r="A12" t="s">
        <v>23</v>
      </c>
    </row>
    <row r="13" ht="15.75" customHeight="1">
      <c r="A13" t="s">
        <v>25</v>
      </c>
      <c r="B13" s="1">
        <v>350.0</v>
      </c>
    </row>
    <row r="14" ht="15.75" customHeight="1">
      <c r="B14" t="s">
        <v>16</v>
      </c>
      <c r="C14" t="s">
        <v>16</v>
      </c>
      <c r="D14" t="s">
        <v>17</v>
      </c>
    </row>
    <row r="15" ht="15.75" customHeight="1">
      <c r="B15">
        <f t="shared" ref="B15:C15" si="1">sum(B2:B13)</f>
        <v>571.32</v>
      </c>
      <c r="C15">
        <f t="shared" si="1"/>
        <v>1499.73</v>
      </c>
      <c r="D15">
        <f>C15-B15</f>
        <v>928.41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16</v>
      </c>
      <c r="C3" t="s">
        <v>16</v>
      </c>
      <c r="D3" t="s">
        <v>17</v>
      </c>
    </row>
    <row r="4" ht="15.75" customHeight="1">
      <c r="B4">
        <f>sum('260 East Taylors Crossing'!B15+'5525 Taylor Road'!B16+'4645 valais ct'!B15+'1120 Lauren way'!B15+'115 Peachtree Memorial Drive'!B15)</f>
        <v>10661.83</v>
      </c>
      <c r="C4">
        <f>sum('260 East Taylors Crossing'!C15+'5525 Taylor Road'!C16+'4645 valais ct'!C15+'1120 Lauren way'!C15+'115 Peachtree Memorial Drive'!C15)</f>
        <v>7036.73</v>
      </c>
      <c r="D4">
        <f>sum('260 East Taylors Crossing'!D15+'5525 Taylor Road'!D16+'4645 valais ct'!D15+'1120 Lauren way'!D15+'115 Peachtree Memorial Drive'!D15)</f>
        <v>-3625.1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