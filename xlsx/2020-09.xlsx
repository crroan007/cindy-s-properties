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<sst xmlns="http://schemas.openxmlformats.org/spreadsheetml/2006/main" count="94" uniqueCount="23">
  <si>
    <t>Line Item</t>
  </si>
  <si>
    <t>Debits</t>
  </si>
  <si>
    <t>Credits</t>
  </si>
  <si>
    <t>water nov to 1/22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</si>
  <si>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</si>
  <si>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</si>
  <si>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</si>
  <si>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</si>
  <si>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</si>
  <si>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</si>
  <si>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</si>
  <si>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</si>
  <si>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</si>
  <si>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</si>
  <si>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annual nest subscrip</t>
  </si>
  <si>
    <t>Total</t>
  </si>
  <si>
    <t>Net</t>
  </si>
  <si>
    <t>repair heat $80</t>
  </si>
  <si>
    <t>RepublictrashNov/dec</t>
  </si>
  <si>
    <t>hoa</t>
  </si>
  <si>
    <t>mortgage</t>
  </si>
  <si>
    <t>Electricity/trash</t>
  </si>
  <si>
    <t>cobb water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</si>
</sst>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3</v>
      </c>
      <c r="B2" s="1">
        <v>105.44</v>
      </c>
    </row>
    <row r="3" ht="15.75" customHeight="1">
      <c r="A3" t="s">
        <v>4</v>
      </c>
      <c r="B3" s="1">
        <v>121.98</v>
      </c>
    </row>
    <row r="4" ht="15.75" customHeight="1">
      <c r="A4" t="s">
        <v>5</v>
      </c>
      <c r="B4" s="1">
        <v>147.67</v>
      </c>
    </row>
    <row r="5" ht="15.75" customHeight="1">
      <c r="A5" t="s">
        <v>6</v>
      </c>
    </row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</row>
    <row r="9" ht="15.75" customHeight="1">
      <c r="A9" t="s">
        <v>10</v>
      </c>
      <c r="B9" s="1">
        <v>80.0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s="1" t="s">
        <v>14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505.09</v>
      </c>
      <c r="C15">
        <f t="shared" si="1"/>
        <v>0</v>
      </c>
      <c r="D15">
        <f>C15-B15</f>
        <v>-505.09</v>
      </c>
    </row>
    <row r="16" ht="15.75" customHeight="1"/>
    <row r="17" ht="15.75" customHeight="1">
      <c r="A17" s="1" t="s">
        <v>17</v>
      </c>
    </row>
    <row r="18" ht="15.75" customHeight="1"/>
    <row r="19" ht="15.75" customHeight="1"/>
    <row r="20" ht="15.75" customHeight="1"/>
    <row r="21" ht="15.75" customHeight="1">
      <c r="A21" s="2"/>
    </row>
    <row r="22" ht="15.75" customHeight="1"/>
    <row r="23" ht="15.75" customHeight="1">
      <c r="A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18</v>
      </c>
      <c r="B2" s="3"/>
    </row>
    <row r="3" ht="15.75" customHeight="1">
      <c r="A3" t="s">
        <v>4</v>
      </c>
      <c r="B3" s="1">
        <v>90.35</v>
      </c>
    </row>
    <row r="4" ht="15.75" customHeight="1">
      <c r="A4" t="s">
        <v>5</v>
      </c>
      <c r="B4" s="1">
        <v>153.06</v>
      </c>
    </row>
    <row r="5" ht="15.75" customHeight="1">
      <c r="A5" s="1" t="s">
        <v>3</v>
      </c>
      <c r="B5" s="1">
        <v>61.55</v>
      </c>
    </row>
    <row r="6" ht="15.75" customHeight="1">
      <c r="A6" t="s">
        <v>7</v>
      </c>
    </row>
    <row r="7" ht="15.75" customHeight="1">
      <c r="A7" t="s">
        <v>8</v>
      </c>
    </row>
    <row r="8" ht="15.75" customHeight="1">
      <c r="A8" t="s">
        <v>9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19</v>
      </c>
    </row>
    <row r="14" ht="15.75" customHeight="1"/>
    <row r="15" ht="15.75" customHeight="1">
      <c r="B15" t="s">
        <v>15</v>
      </c>
      <c r="C15" t="s">
        <v>15</v>
      </c>
      <c r="D15" t="s">
        <v>16</v>
      </c>
    </row>
    <row r="16" ht="15.75" customHeight="1">
      <c r="B16" s="1">
        <v>304.96</v>
      </c>
      <c r="C16">
        <f>sum(C3:C14)</f>
        <v>0</v>
      </c>
      <c r="D16">
        <f>C16-B16</f>
        <v>-304.96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20</v>
      </c>
      <c r="B2" s="1">
        <v>919.0</v>
      </c>
    </row>
    <row r="3" ht="15.75" customHeight="1">
      <c r="A3" t="s">
        <v>4</v>
      </c>
      <c r="B3" s="1">
        <v>72.31</v>
      </c>
    </row>
    <row r="4" ht="15.75" customHeight="1">
      <c r="A4" t="s">
        <v>5</v>
      </c>
      <c r="B4" s="1">
        <v>74.61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19</v>
      </c>
      <c r="B13" s="1">
        <v>125.0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1240.92</v>
      </c>
      <c r="C15">
        <f t="shared" si="1"/>
        <v>0</v>
      </c>
      <c r="D15">
        <f>C15-B15</f>
        <v>-1240.92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20</v>
      </c>
    </row>
    <row r="3" ht="15.75" customHeight="1">
      <c r="A3" t="s">
        <v>4</v>
      </c>
      <c r="B3" s="1">
        <v>118.06</v>
      </c>
    </row>
    <row r="4" ht="15.75" customHeight="1">
      <c r="A4" s="1" t="s">
        <v>21</v>
      </c>
      <c r="B4" s="1">
        <v>140.27</v>
      </c>
    </row>
    <row r="5" ht="15.75" customHeight="1">
      <c r="A5" s="1" t="s">
        <v>22</v>
      </c>
      <c r="B5" s="1">
        <v>44.09</v>
      </c>
    </row>
    <row r="6" ht="15.75" customHeight="1">
      <c r="A6" t="s">
        <v>7</v>
      </c>
      <c r="B6" s="1">
        <v>49.95</v>
      </c>
    </row>
    <row r="7" ht="15.75" customHeight="1">
      <c r="A7" t="s">
        <v>8</v>
      </c>
    </row>
    <row r="8" ht="15.75" customHeight="1">
      <c r="A8" t="s">
        <v>9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19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 s="1">
        <v>352.37</v>
      </c>
      <c r="C15">
        <f>sum(C2:C13)</f>
        <v>0</v>
      </c>
      <c r="D15" s="1">
        <v>1597.63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s="1">
        <v>14.0</v>
      </c>
      <c r="B1" t="s">
        <v>1</v>
      </c>
      <c r="C1" t="s">
        <v>2</v>
      </c>
    </row>
    <row r="2" ht="15.75" customHeight="1">
      <c r="A2" t="s">
        <v>20</v>
      </c>
    </row>
    <row r="3" ht="15.75" customHeight="1">
      <c r="A3" t="s">
        <v>4</v>
      </c>
    </row>
    <row r="4" ht="15.75" customHeight="1">
      <c r="A4" t="s">
        <v>5</v>
      </c>
      <c r="B4" s="1">
        <v>123.16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19</v>
      </c>
      <c r="B13" s="1">
        <v>350.0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523.16</v>
      </c>
      <c r="C15">
        <f t="shared" si="1"/>
        <v>0</v>
      </c>
      <c r="D15">
        <f>C15-B15</f>
        <v>-523.16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/>
    <row r="3" ht="15.75" customHeight="1">
      <c r="B3" t="s">
        <v>15</v>
      </c>
      <c r="C3" t="s">
        <v>15</v>
      </c>
      <c r="D3" t="s">
        <v>16</v>
      </c>
    </row>
    <row r="4" ht="15.75" customHeight="1">
      <c r="B4">
        <f>sum('260 East Taylors Crossing'!B15+'5525 Taylor Road'!B16+'4645 valais ct'!B15+'1120 Lauren way'!B15+'115 Peachtree Memorial Drive'!B15)</f>
        <v>2926.5</v>
      </c>
      <c r="C4">
        <f>sum('260 East Taylors Crossing'!C15+'5525 Taylor Road'!C16+'4645 valais ct'!C15+'1120 Lauren way'!C15+'115 Peachtree Memorial Drive'!C15)</f>
        <v>0</v>
      </c>
      <c r="D4">
        <f>sum('260 East Taylors Crossing'!D15+'5525 Taylor Road'!D16+'4645 valais ct'!D15+'1120 Lauren way'!D15+'115 Peachtree Memorial Drive'!D15)</f>
        <v>-976.5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