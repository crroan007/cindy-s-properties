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<sst xmlns="http://schemas.openxmlformats.org/spreadsheetml/2006/main" count="93" uniqueCount="26">
  <si>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</si>
  <si>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</si>
  <si>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</si>
  <si>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</si>
  <si>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</si>
  <si>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</si>
  <si>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</si>
  <si>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</si>
  <si>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</si>
  <si>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</si>
  <si>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</si>
  <si>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</si>
  <si>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</si>
  <si>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</si>
  <si>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</si>
  <si>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</si>
  <si>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</si>
  <si>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water/sewage months</t>
  </si>
  <si>
    <t>3/8 - 5/13</t>
  </si>
  <si>
    <t>RepublictrashNov/dec</t>
  </si>
  <si>
    <t>water march to may</t>
  </si>
  <si>
    <t>hoa</t>
  </si>
  <si>
    <t>mortgage</t>
  </si>
  <si>
    <t>Electricity/trash</t>
  </si>
  <si>
    <t>cobb water</t>
  </si>
  <si>
    <t>371..87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</si>
</sst>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  <c r="B2" s="1">
        <v>128.96</v>
      </c>
    </row>
    <row r="3" ht="15.75" customHeight="1">
      <c r="A3" t="s">
        <v>4</v>
      </c>
      <c r="B3" s="1">
        <v>79.58</v>
      </c>
    </row>
    <row r="4" ht="15.75" customHeight="1">
      <c r="A4" t="s">
        <v>5</v>
      </c>
      <c r="B4" s="1">
        <v>128.56</v>
      </c>
    </row>
    <row r="5" ht="15.75" customHeight="1">
      <c r="A5" t="s">
        <v>6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3800.0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>sum(B2:B13)</f>
        <v>387.1</v>
      </c>
      <c r="C15" s="1">
        <v>3800.0</v>
      </c>
      <c r="D15" s="1">
        <v>3412.9</v>
      </c>
    </row>
    <row r="16" ht="15.75" customHeight="1"/>
    <row r="17" ht="15.75" customHeight="1"/>
    <row r="18" ht="15.75" customHeight="1">
      <c r="A18" s="1" t="s">
        <v>17</v>
      </c>
    </row>
    <row r="19" ht="15.75" customHeight="1">
      <c r="A19" s="1" t="s">
        <v>18</v>
      </c>
    </row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19</v>
      </c>
      <c r="B2" s="3"/>
    </row>
    <row r="3" ht="15.75" customHeight="1">
      <c r="A3" t="s">
        <v>4</v>
      </c>
      <c r="B3" s="1">
        <v>35.97</v>
      </c>
    </row>
    <row r="4" ht="15.75" customHeight="1">
      <c r="A4" t="s">
        <v>5</v>
      </c>
      <c r="B4" s="1">
        <v>142.63</v>
      </c>
    </row>
    <row r="5" ht="15.75" customHeight="1">
      <c r="A5" s="1" t="s">
        <v>20</v>
      </c>
      <c r="B5" s="1">
        <v>142.6</v>
      </c>
    </row>
    <row r="6" ht="15.75" customHeight="1">
      <c r="A6" t="s">
        <v>7</v>
      </c>
      <c r="B6" s="1">
        <v>117.0</v>
      </c>
    </row>
    <row r="7" ht="15.75" customHeight="1">
      <c r="A7" t="s">
        <v>8</v>
      </c>
    </row>
    <row r="8" ht="15.75" customHeight="1">
      <c r="A8" t="s">
        <v>9</v>
      </c>
      <c r="C8" s="1">
        <v>1750.0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21</v>
      </c>
    </row>
    <row r="14" ht="15.75" customHeight="1"/>
    <row r="15" ht="15.75" customHeight="1">
      <c r="B15" s="1">
        <v>438.2</v>
      </c>
      <c r="C15" s="1">
        <v>1750.0</v>
      </c>
      <c r="D15" s="1">
        <v>1311.8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22</v>
      </c>
      <c r="B2" s="1">
        <v>919.0</v>
      </c>
    </row>
    <row r="3" ht="15.75" customHeight="1">
      <c r="A3" t="s">
        <v>4</v>
      </c>
      <c r="B3" s="1">
        <v>58.75</v>
      </c>
    </row>
    <row r="4" ht="15.75" customHeight="1">
      <c r="A4" t="s">
        <v>5</v>
      </c>
      <c r="B4" s="1">
        <v>54.2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21</v>
      </c>
      <c r="B13" s="1">
        <v>136.0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1217.95</v>
      </c>
      <c r="C15">
        <f t="shared" si="1"/>
        <v>2350</v>
      </c>
      <c r="D15">
        <f>C15-B15</f>
        <v>1132.05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22</v>
      </c>
    </row>
    <row r="3" ht="15.75" customHeight="1">
      <c r="A3" t="s">
        <v>4</v>
      </c>
      <c r="B3" s="1">
        <v>120.0</v>
      </c>
    </row>
    <row r="4" ht="15.75" customHeight="1">
      <c r="A4" s="1" t="s">
        <v>23</v>
      </c>
      <c r="B4" s="1">
        <v>123.29</v>
      </c>
    </row>
    <row r="5" ht="15.75" customHeight="1">
      <c r="A5" s="1" t="s">
        <v>24</v>
      </c>
      <c r="B5" s="1">
        <v>33.58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  <c r="B7" s="1">
        <v>45.0</v>
      </c>
    </row>
    <row r="8" ht="15.75" customHeight="1">
      <c r="A8" t="s">
        <v>9</v>
      </c>
      <c r="C8" s="1">
        <v>1950.0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21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1" t="s">
        <v>25</v>
      </c>
      <c r="C15">
        <f>sum(C2:C13)</f>
        <v>1950</v>
      </c>
      <c r="D15" s="1">
        <v>1578.13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22</v>
      </c>
    </row>
    <row r="3" ht="15.75" customHeight="1">
      <c r="A3" t="s">
        <v>4</v>
      </c>
    </row>
    <row r="4" ht="15.75" customHeight="1">
      <c r="A4" t="s">
        <v>5</v>
      </c>
      <c r="B4" s="1">
        <v>88.7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1750.0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21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488.7</v>
      </c>
      <c r="C15">
        <f t="shared" si="1"/>
        <v>1750</v>
      </c>
      <c r="D15">
        <f>C15-B15</f>
        <v>1261.3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 t="str">
        <f>sum('260 East Taylors Crossing'!B15+'5525 Taylor Road'!B16+'4645 valais ct'!B15+'1120 Lauren way'!B15+'115 Peachtree Memorial Drive'!B15)</f>
        <v>#VALUE!</v>
      </c>
      <c r="C4">
        <f>sum('260 East Taylors Crossing'!C15+'5525 Taylor Road'!C16+'4645 valais ct'!C15+'1120 Lauren way'!C15+'115 Peachtree Memorial Drive'!C15)</f>
        <v>9850</v>
      </c>
      <c r="D4">
        <f>sum('260 East Taylors Crossing'!D15+'5525 Taylor Road'!D16+'4645 valais ct'!D15+'1120 Lauren way'!D15+'115 Peachtree Memorial Drive'!D15)</f>
        <v>7384.38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