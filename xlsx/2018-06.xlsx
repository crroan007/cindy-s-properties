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<sst xmlns="http://schemas.openxmlformats.org/spreadsheetml/2006/main" count="106" uniqueCount="39">
  <si>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</si>
  <si>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</si>
  <si>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</si>
  <si>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</si>
  <si>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</si>
  <si>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</si>
  <si>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</si>
  <si>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</si>
  <si>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</si>
  <si>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</si>
  <si>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</si>
  <si>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</si>
  <si>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</si>
  <si>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</si>
  <si>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chop tree/plant grass</t>
  </si>
  <si>
    <t>Total</t>
  </si>
  <si>
    <t>Net</t>
  </si>
  <si>
    <t>repair basemt gap</t>
  </si>
  <si>
    <t>office chair $30</t>
  </si>
  <si>
    <t>presure wash $150</t>
  </si>
  <si>
    <t>mortgage</t>
  </si>
  <si>
    <t xml:space="preserve">water jan to march </t>
  </si>
  <si>
    <t xml:space="preserve">pressure wash </t>
  </si>
  <si>
    <t>hoa</t>
  </si>
  <si>
    <t>pool services</t>
  </si>
  <si>
    <t>Electricity/tras336/21</t>
  </si>
  <si>
    <t>cobb water</t>
  </si>
  <si>
    <t>poool liner</t>
  </si>
  <si>
    <t>poool stuff/install</t>
  </si>
  <si>
    <t>labour nest thermostat</t>
  </si>
  <si>
    <t>hux $150</t>
  </si>
  <si>
    <t>pressure wash gutters</t>
  </si>
  <si>
    <t>pool liner $3400</t>
  </si>
  <si>
    <t>outdoor shower $71.43</t>
  </si>
  <si>
    <t>install outdoor shower</t>
  </si>
  <si>
    <t>badminton rackets/shuttlecocks</t>
  </si>
  <si>
    <t>$12 plus $8.99</t>
  </si>
  <si>
    <t>volleyball net $19,95</t>
  </si>
  <si>
    <t>garage fridge $224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</si>
</sst>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101.52</v>
      </c>
    </row>
    <row r="3" ht="15.75" customHeight="1">
      <c r="A3" t="s">
        <v>4</v>
      </c>
      <c r="B3" s="1">
        <v>39.01</v>
      </c>
    </row>
    <row r="4" ht="15.75" customHeight="1">
      <c r="A4" t="s">
        <v>5</v>
      </c>
      <c r="B4" s="1">
        <v>134.94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  <c r="B7" s="1">
        <v>100.0</v>
      </c>
    </row>
    <row r="8" ht="15.75" customHeight="1">
      <c r="A8" t="s">
        <v>9</v>
      </c>
      <c r="C8" s="1">
        <v>3300.0</v>
      </c>
    </row>
    <row r="9" ht="15.75" customHeight="1">
      <c r="A9" t="s">
        <v>10</v>
      </c>
      <c r="B9" s="1">
        <v>135.0</v>
      </c>
    </row>
    <row r="10" ht="15.75" customHeight="1">
      <c r="A10" t="s">
        <v>11</v>
      </c>
      <c r="B10" s="1">
        <v>30.0</v>
      </c>
    </row>
    <row r="11" ht="15.75" customHeight="1">
      <c r="A11" t="s">
        <v>12</v>
      </c>
      <c r="B11" s="1">
        <v>150.0</v>
      </c>
    </row>
    <row r="12" ht="15.75" customHeight="1">
      <c r="A12" t="s">
        <v>13</v>
      </c>
    </row>
    <row r="13" ht="15.75" customHeight="1">
      <c r="A13" s="1" t="s">
        <v>14</v>
      </c>
      <c r="B13" s="1">
        <v>550.0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1290.47</v>
      </c>
      <c r="C15">
        <f t="shared" si="1"/>
        <v>3300</v>
      </c>
      <c r="D15">
        <f t="shared" ref="D15:D16" si="2">C15-B15</f>
        <v>2009.53</v>
      </c>
    </row>
    <row r="16" ht="15.75" customHeight="1">
      <c r="D16">
        <f t="shared" si="2"/>
        <v>0</v>
      </c>
    </row>
    <row r="17" ht="15.75" customHeight="1">
      <c r="A17" s="1" t="s">
        <v>17</v>
      </c>
    </row>
    <row r="18" ht="15.75" customHeight="1">
      <c r="A18" s="2">
        <v>135.0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20</v>
      </c>
    </row>
    <row r="3" ht="15.75" customHeight="1">
      <c r="A3" t="s">
        <v>4</v>
      </c>
      <c r="B3" s="1">
        <v>35.76</v>
      </c>
    </row>
    <row r="4" ht="15.75" customHeight="1">
      <c r="A4" t="s">
        <v>5</v>
      </c>
      <c r="B4" s="1">
        <v>169.74</v>
      </c>
    </row>
    <row r="5" ht="15.75" customHeight="1">
      <c r="A5" s="1" t="s">
        <v>21</v>
      </c>
      <c r="B5" s="1">
        <v>64.4</v>
      </c>
    </row>
    <row r="6" ht="15.75" customHeight="1">
      <c r="A6" t="s">
        <v>7</v>
      </c>
      <c r="B6" s="1">
        <v>164.68</v>
      </c>
    </row>
    <row r="7" ht="15.75" customHeight="1">
      <c r="A7" t="s">
        <v>8</v>
      </c>
      <c r="B7" s="1">
        <v>40.0</v>
      </c>
    </row>
    <row r="8" ht="15.75" customHeight="1">
      <c r="A8" t="s">
        <v>9</v>
      </c>
      <c r="C8" s="1">
        <v>1650.0</v>
      </c>
    </row>
    <row r="9" ht="15.75" customHeight="1">
      <c r="A9" t="s">
        <v>10</v>
      </c>
      <c r="B9" s="1"/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22</v>
      </c>
      <c r="B13" s="1">
        <v>150.0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>
        <f t="shared" ref="B16:C16" si="1">sum(B3:B14)</f>
        <v>624.58</v>
      </c>
      <c r="C16">
        <f t="shared" si="1"/>
        <v>1650</v>
      </c>
      <c r="D16">
        <f>C16-B16</f>
        <v>1025.42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20</v>
      </c>
      <c r="B2" s="1">
        <v>919.0</v>
      </c>
    </row>
    <row r="3" ht="15.75" customHeight="1">
      <c r="A3" t="s">
        <v>4</v>
      </c>
      <c r="B3" s="1">
        <v>33.65</v>
      </c>
    </row>
    <row r="4" ht="15.75" customHeight="1">
      <c r="A4" t="s">
        <v>5</v>
      </c>
      <c r="B4" s="1">
        <v>84.9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  <c r="B9" s="1"/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23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1212.55</v>
      </c>
      <c r="C15">
        <f t="shared" si="1"/>
        <v>2350</v>
      </c>
      <c r="D15">
        <f>C15-B15</f>
        <v>1137.45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24</v>
      </c>
      <c r="B2" s="1">
        <v>173.0</v>
      </c>
    </row>
    <row r="3" ht="15.75" customHeight="1">
      <c r="A3" t="s">
        <v>4</v>
      </c>
      <c r="B3" s="1">
        <v>38.15</v>
      </c>
    </row>
    <row r="4" ht="15.75" customHeight="1">
      <c r="A4" s="1" t="s">
        <v>25</v>
      </c>
      <c r="B4" s="1">
        <v>381.6</v>
      </c>
    </row>
    <row r="5" ht="15.75" customHeight="1">
      <c r="A5" s="1" t="s">
        <v>26</v>
      </c>
      <c r="B5" s="1">
        <v>196.84</v>
      </c>
    </row>
    <row r="6" ht="15.75" customHeight="1">
      <c r="A6" t="s">
        <v>7</v>
      </c>
      <c r="B6" s="1">
        <v>44.99</v>
      </c>
    </row>
    <row r="7" ht="15.75" customHeight="1">
      <c r="A7" t="s">
        <v>8</v>
      </c>
      <c r="B7" s="1">
        <v>90.0</v>
      </c>
    </row>
    <row r="8" ht="15.75" customHeight="1">
      <c r="A8" t="s">
        <v>9</v>
      </c>
      <c r="C8" s="1">
        <v>3533.63</v>
      </c>
    </row>
    <row r="9" ht="15.75" customHeight="1">
      <c r="A9" t="s">
        <v>10</v>
      </c>
      <c r="B9" s="1">
        <v>250.0</v>
      </c>
    </row>
    <row r="10" ht="15.75" customHeight="1">
      <c r="A10" s="1" t="s">
        <v>27</v>
      </c>
      <c r="B10" s="1">
        <v>3400.0</v>
      </c>
    </row>
    <row r="11" ht="15.75" customHeight="1">
      <c r="A11" t="s">
        <v>12</v>
      </c>
      <c r="B11" s="1">
        <v>150.0</v>
      </c>
    </row>
    <row r="12" ht="15.75" customHeight="1">
      <c r="A12" t="s">
        <v>13</v>
      </c>
      <c r="B12" s="1">
        <v>85.0</v>
      </c>
    </row>
    <row r="13" ht="15.75" customHeight="1">
      <c r="A13" s="1" t="s">
        <v>28</v>
      </c>
      <c r="B13" s="1">
        <v>445.0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5254.58</v>
      </c>
      <c r="C15">
        <f t="shared" si="1"/>
        <v>3533.63</v>
      </c>
      <c r="D15">
        <f>C15-B15</f>
        <v>-1720.95</v>
      </c>
    </row>
    <row r="16" ht="15.75" customHeight="1"/>
    <row r="17" ht="15.75" customHeight="1"/>
    <row r="18" ht="15.75" customHeight="1">
      <c r="A18" s="1" t="s">
        <v>29</v>
      </c>
    </row>
    <row r="19" ht="15.75" customHeight="1">
      <c r="A19" s="2">
        <v>50.0</v>
      </c>
    </row>
    <row r="20" ht="15.75" customHeight="1">
      <c r="A20" s="1" t="s">
        <v>30</v>
      </c>
    </row>
    <row r="21" ht="15.75" customHeight="1">
      <c r="A21" s="1" t="s">
        <v>31</v>
      </c>
    </row>
    <row r="22" ht="15.75" customHeight="1">
      <c r="A22" s="2">
        <v>200.0</v>
      </c>
    </row>
    <row r="23" ht="15.75" customHeight="1">
      <c r="A23" s="1" t="s">
        <v>32</v>
      </c>
    </row>
    <row r="24" ht="15.75" customHeight="1">
      <c r="A24" s="1" t="s">
        <v>33</v>
      </c>
    </row>
    <row r="25" ht="15.75" customHeight="1">
      <c r="A25" s="1" t="s">
        <v>34</v>
      </c>
    </row>
    <row r="26" ht="15.75" customHeight="1">
      <c r="A26" s="2">
        <v>150.0</v>
      </c>
    </row>
    <row r="27" ht="15.75" customHeight="1">
      <c r="A27" s="1" t="s">
        <v>35</v>
      </c>
    </row>
    <row r="28" ht="15.75" customHeight="1">
      <c r="A28" s="1" t="s">
        <v>36</v>
      </c>
    </row>
    <row r="29" ht="15.75" customHeight="1">
      <c r="A29" s="1" t="s">
        <v>37</v>
      </c>
    </row>
    <row r="30" ht="15.75" customHeight="1">
      <c r="A30" s="1" t="s">
        <v>38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20</v>
      </c>
    </row>
    <row r="3" ht="15.75" customHeight="1">
      <c r="A3" t="s">
        <v>4</v>
      </c>
    </row>
    <row r="4" ht="15.75" customHeight="1">
      <c r="A4" t="s">
        <v>5</v>
      </c>
      <c r="B4" s="1">
        <v>53.66</v>
      </c>
    </row>
    <row r="5" ht="15.75" customHeight="1"/>
    <row r="6" ht="15.75" customHeight="1">
      <c r="A6" t="s">
        <v>7</v>
      </c>
      <c r="B6" s="1">
        <v>40.0</v>
      </c>
    </row>
    <row r="7" ht="15.75" customHeight="1">
      <c r="A7" t="s">
        <v>8</v>
      </c>
    </row>
    <row r="8" ht="15.75" customHeight="1">
      <c r="A8" t="s">
        <v>9</v>
      </c>
      <c r="C8" s="1">
        <v>900.0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23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443.66</v>
      </c>
      <c r="C15">
        <f t="shared" si="1"/>
        <v>900</v>
      </c>
      <c r="D15">
        <f>C15-B15</f>
        <v>456.34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8825.84</v>
      </c>
      <c r="C4">
        <f>sum('260 East Taylors Crossing'!C15+'5525 Taylor Road'!C16+'4645 valais ct'!C15+'1120 Lauren way'!C15+'115 Peachtree Memorial Drive'!C15)</f>
        <v>11733.63</v>
      </c>
      <c r="D4">
        <f>sum('260 East Taylors Crossing'!D15+'5525 Taylor Road'!D16+'4645 valais ct'!D15+'1120 Lauren way'!D15+'115 Peachtree Memorial Drive'!D15)</f>
        <v>2907.79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