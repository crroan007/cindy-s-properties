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<sst xmlns="http://schemas.openxmlformats.org/spreadsheetml/2006/main" count="110" uniqueCount="45">
  <si>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</si>
  <si>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</si>
  <si>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</si>
  <si>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</si>
  <si>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</si>
  <si>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</si>
  <si>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</si>
  <si>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</si>
  <si>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</si>
  <si>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</si>
  <si>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</si>
  <si>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</si>
  <si>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>waste mgmt</t>
  </si>
  <si>
    <t>annual nest subscrip</t>
  </si>
  <si>
    <t>Total</t>
  </si>
  <si>
    <t>Net</t>
  </si>
  <si>
    <t>home insurance one year</t>
  </si>
  <si>
    <t>7/25 2018 to 2019</t>
  </si>
  <si>
    <t>repair fence</t>
  </si>
  <si>
    <t>labour $250</t>
  </si>
  <si>
    <t>Line Item</t>
  </si>
  <si>
    <t>mortgage</t>
  </si>
  <si>
    <t xml:space="preserve">water jan to march </t>
  </si>
  <si>
    <t>hoa</t>
  </si>
  <si>
    <t>$100 replace insinkerator</t>
  </si>
  <si>
    <t xml:space="preserve">pest control </t>
  </si>
  <si>
    <t>garage repair</t>
  </si>
  <si>
    <t>Electricity/trash</t>
  </si>
  <si>
    <t>cobb water</t>
  </si>
  <si>
    <t>yard cleanup/pool</t>
  </si>
  <si>
    <t>walmart blankets</t>
  </si>
  <si>
    <t>sheets $79</t>
  </si>
  <si>
    <t>labour for new faucts</t>
  </si>
  <si>
    <t>repair door $50</t>
  </si>
  <si>
    <t xml:space="preserve">hux $304 </t>
  </si>
  <si>
    <t>yard removal $160</t>
  </si>
  <si>
    <t xml:space="preserve">garage door repair </t>
  </si>
  <si>
    <t>master bath shower</t>
  </si>
  <si>
    <t>replacement/front door</t>
  </si>
  <si>
    <t>new lock/ one fan</t>
  </si>
  <si>
    <t xml:space="preserve">install plus labour </t>
  </si>
  <si>
    <t>yard cleanup $160</t>
  </si>
  <si>
    <t xml:space="preserve">pool maintenance </t>
  </si>
  <si>
    <t>GA Power deposit</t>
  </si>
  <si>
    <t>georgia power 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</si>
</sst>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0</v>
      </c>
      <c r="C1" t="s">
        <v>1</v>
      </c>
    </row>
    <row r="2" ht="15.75" customHeight="1">
      <c r="A2" s="1" t="s">
        <v>2</v>
      </c>
      <c r="B2" s="1">
        <v>126.79</v>
      </c>
    </row>
    <row r="3" ht="15.75" customHeight="1">
      <c r="A3" t="s">
        <v>3</v>
      </c>
      <c r="B3" s="1">
        <v>34.71</v>
      </c>
    </row>
    <row r="4" ht="15.75" customHeight="1">
      <c r="A4" t="s">
        <v>4</v>
      </c>
      <c r="B4" s="1">
        <v>253.06</v>
      </c>
    </row>
    <row r="5" ht="15.75" customHeight="1">
      <c r="A5" t="s">
        <v>5</v>
      </c>
      <c r="B5" s="1">
        <v>809.0</v>
      </c>
    </row>
    <row r="6" ht="15.75" customHeight="1">
      <c r="A6" t="s">
        <v>6</v>
      </c>
      <c r="B6" s="1">
        <v>50.0</v>
      </c>
    </row>
    <row r="7" ht="15.75" customHeight="1">
      <c r="A7" t="s">
        <v>7</v>
      </c>
      <c r="B7" s="1">
        <v>100.0</v>
      </c>
    </row>
    <row r="8" ht="15.75" customHeight="1">
      <c r="A8" t="s">
        <v>8</v>
      </c>
      <c r="C8" s="1">
        <v>3950.0</v>
      </c>
    </row>
    <row r="9" ht="15.75" customHeight="1">
      <c r="A9" t="s">
        <v>9</v>
      </c>
      <c r="B9" s="1">
        <v>820.0</v>
      </c>
    </row>
    <row r="10" ht="15.75" customHeight="1">
      <c r="A10" t="s">
        <v>10</v>
      </c>
      <c r="B10" s="1"/>
    </row>
    <row r="11" ht="15.75" customHeight="1">
      <c r="A11" t="s">
        <v>11</v>
      </c>
    </row>
    <row r="12" ht="15.75" customHeight="1">
      <c r="A12" s="1" t="s">
        <v>12</v>
      </c>
      <c r="B12" s="1">
        <v>58.97</v>
      </c>
    </row>
    <row r="13" ht="15.75" customHeight="1">
      <c r="A13" s="1" t="s">
        <v>13</v>
      </c>
      <c r="B13" s="1"/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2252.53</v>
      </c>
      <c r="C15">
        <f t="shared" si="1"/>
        <v>3950</v>
      </c>
      <c r="D15">
        <f>C15-B15</f>
        <v>1697.47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 t="s">
        <v>16</v>
      </c>
    </row>
    <row r="24" ht="15.75" customHeight="1">
      <c r="A24" s="1" t="s">
        <v>17</v>
      </c>
    </row>
    <row r="25" ht="15.75" customHeight="1">
      <c r="A25" s="1" t="s">
        <v>18</v>
      </c>
    </row>
    <row r="26" ht="15.75" customHeight="1">
      <c r="A26" s="3">
        <v>569.34</v>
      </c>
    </row>
    <row r="27" ht="15.75" customHeight="1">
      <c r="A27" s="1" t="s">
        <v>19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20</v>
      </c>
      <c r="B1" t="s">
        <v>0</v>
      </c>
      <c r="C1" t="s">
        <v>1</v>
      </c>
    </row>
    <row r="2" ht="15.75" customHeight="1">
      <c r="A2" t="s">
        <v>21</v>
      </c>
    </row>
    <row r="3" ht="15.75" customHeight="1">
      <c r="A3" t="s">
        <v>3</v>
      </c>
      <c r="B3" s="1">
        <v>32.42</v>
      </c>
    </row>
    <row r="4" ht="15.75" customHeight="1">
      <c r="A4" t="s">
        <v>4</v>
      </c>
      <c r="B4" s="1">
        <v>169.74</v>
      </c>
    </row>
    <row r="5" ht="15.75" customHeight="1">
      <c r="A5" s="1" t="s">
        <v>22</v>
      </c>
      <c r="B5" s="1">
        <v>45.84</v>
      </c>
    </row>
    <row r="6" ht="15.75" customHeight="1">
      <c r="A6" t="s">
        <v>6</v>
      </c>
      <c r="B6" s="1">
        <v>164.68</v>
      </c>
    </row>
    <row r="7" ht="15.75" customHeight="1">
      <c r="A7" t="s">
        <v>7</v>
      </c>
    </row>
    <row r="8" ht="15.75" customHeight="1">
      <c r="A8" t="s">
        <v>8</v>
      </c>
      <c r="C8" s="1">
        <v>1360.0</v>
      </c>
    </row>
    <row r="9" ht="15.75" customHeight="1">
      <c r="A9" t="s">
        <v>9</v>
      </c>
      <c r="B9" s="1">
        <v>100.0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s="1" t="s">
        <v>7</v>
      </c>
      <c r="B12" s="1">
        <v>130.0</v>
      </c>
    </row>
    <row r="13" ht="15.75" customHeight="1">
      <c r="A13" t="s">
        <v>23</v>
      </c>
    </row>
    <row r="14" ht="15.75" customHeight="1"/>
    <row r="15" ht="15.75" customHeight="1">
      <c r="B15" t="s">
        <v>14</v>
      </c>
      <c r="C15" t="s">
        <v>14</v>
      </c>
      <c r="D15" t="s">
        <v>15</v>
      </c>
    </row>
    <row r="16" ht="15.75" customHeight="1">
      <c r="B16">
        <f t="shared" ref="B16:C16" si="1">sum(B3:B14)</f>
        <v>642.68</v>
      </c>
      <c r="C16">
        <f t="shared" si="1"/>
        <v>1360</v>
      </c>
      <c r="D16">
        <f>C16-B16</f>
        <v>717.32</v>
      </c>
    </row>
    <row r="17" ht="15.75" customHeight="1">
      <c r="A17" s="1" t="s">
        <v>24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20</v>
      </c>
      <c r="B1" t="s">
        <v>0</v>
      </c>
      <c r="C1" t="s">
        <v>1</v>
      </c>
    </row>
    <row r="2" ht="15.75" customHeight="1">
      <c r="A2" t="s">
        <v>21</v>
      </c>
      <c r="B2" s="1">
        <v>919.0</v>
      </c>
    </row>
    <row r="3" ht="15.75" customHeight="1">
      <c r="A3" t="s">
        <v>3</v>
      </c>
      <c r="B3" s="1">
        <v>30.41</v>
      </c>
    </row>
    <row r="4" ht="15.75" customHeight="1">
      <c r="A4" t="s">
        <v>4</v>
      </c>
      <c r="B4" s="1">
        <v>116.71</v>
      </c>
    </row>
    <row r="5" ht="15.75" customHeight="1"/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2300.0</v>
      </c>
    </row>
    <row r="9" ht="15.75" customHeight="1">
      <c r="A9" t="s">
        <v>9</v>
      </c>
      <c r="B9" s="1">
        <v>90.0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25</v>
      </c>
    </row>
    <row r="13" ht="15.75" customHeight="1">
      <c r="A13" t="s">
        <v>23</v>
      </c>
      <c r="B13" s="1">
        <v>125.0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1331.12</v>
      </c>
      <c r="C15">
        <f t="shared" si="1"/>
        <v>2300</v>
      </c>
      <c r="D15">
        <f>C15-B15</f>
        <v>968.88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20</v>
      </c>
      <c r="B1" t="s">
        <v>0</v>
      </c>
      <c r="C1" t="s">
        <v>1</v>
      </c>
    </row>
    <row r="2" ht="15.75" customHeight="1">
      <c r="A2" s="1" t="s">
        <v>26</v>
      </c>
      <c r="B2" s="2">
        <v>218.0</v>
      </c>
    </row>
    <row r="3" ht="15.75" customHeight="1">
      <c r="A3" t="s">
        <v>3</v>
      </c>
      <c r="B3" s="1">
        <v>162.86</v>
      </c>
    </row>
    <row r="4" ht="15.75" customHeight="1">
      <c r="A4" s="1" t="s">
        <v>27</v>
      </c>
      <c r="B4" s="1">
        <v>391.0</v>
      </c>
    </row>
    <row r="5" ht="15.75" customHeight="1">
      <c r="A5" s="1" t="s">
        <v>28</v>
      </c>
      <c r="B5" s="1">
        <v>497.78</v>
      </c>
    </row>
    <row r="6" ht="15.75" customHeight="1">
      <c r="A6" t="s">
        <v>6</v>
      </c>
      <c r="B6" s="1">
        <v>44.99</v>
      </c>
    </row>
    <row r="7" ht="15.75" customHeight="1">
      <c r="A7" t="s">
        <v>7</v>
      </c>
      <c r="B7" s="1">
        <v>250.0</v>
      </c>
    </row>
    <row r="8" ht="15.75" customHeight="1">
      <c r="A8" t="s">
        <v>8</v>
      </c>
      <c r="C8" s="1">
        <v>7046.99</v>
      </c>
    </row>
    <row r="9" ht="15.75" customHeight="1">
      <c r="A9" t="s">
        <v>9</v>
      </c>
      <c r="B9" s="1">
        <v>400.0</v>
      </c>
    </row>
    <row r="10" ht="15.75" customHeight="1">
      <c r="A10" t="s">
        <v>10</v>
      </c>
      <c r="B10" s="1">
        <v>345.0</v>
      </c>
    </row>
    <row r="11" ht="15.75" customHeight="1">
      <c r="A11" t="s">
        <v>11</v>
      </c>
      <c r="B11" s="1">
        <v>304.0</v>
      </c>
    </row>
    <row r="12" ht="15.75" customHeight="1">
      <c r="A12" t="s">
        <v>25</v>
      </c>
      <c r="B12" s="1">
        <v>85.0</v>
      </c>
    </row>
    <row r="13" ht="15.75" customHeight="1">
      <c r="A13" s="1" t="s">
        <v>29</v>
      </c>
      <c r="B13" s="1">
        <v>396.0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 s="4">
        <f t="shared" ref="B15:C15" si="1">sum(B2:B13)</f>
        <v>3094.63</v>
      </c>
      <c r="C15">
        <f t="shared" si="1"/>
        <v>7046.99</v>
      </c>
      <c r="D15" s="4">
        <f>C15-B15</f>
        <v>3952.36</v>
      </c>
    </row>
    <row r="16" ht="15.75" customHeight="1"/>
    <row r="17" ht="15.75" customHeight="1">
      <c r="A17" s="1" t="s">
        <v>30</v>
      </c>
    </row>
    <row r="18" ht="15.75" customHeight="1">
      <c r="A18" s="2">
        <v>78.0</v>
      </c>
    </row>
    <row r="19" ht="15.75" customHeight="1">
      <c r="A19" s="1" t="s">
        <v>31</v>
      </c>
    </row>
    <row r="20" ht="15.75" customHeight="1">
      <c r="A20" s="1" t="s">
        <v>32</v>
      </c>
    </row>
    <row r="21" ht="15.75" customHeight="1">
      <c r="A21" s="2">
        <v>280.0</v>
      </c>
    </row>
    <row r="22" ht="15.75" customHeight="1">
      <c r="A22" s="1" t="s">
        <v>33</v>
      </c>
    </row>
    <row r="23" ht="15.75" customHeight="1">
      <c r="A23" s="1" t="s">
        <v>34</v>
      </c>
    </row>
    <row r="24" ht="15.75" customHeight="1">
      <c r="A24" s="1" t="s">
        <v>35</v>
      </c>
    </row>
    <row r="25" ht="15.75" customHeight="1">
      <c r="A25" s="1" t="s">
        <v>36</v>
      </c>
    </row>
    <row r="26" ht="15.75" customHeight="1">
      <c r="A26" s="2">
        <v>168.0</v>
      </c>
    </row>
    <row r="27" ht="15.75" customHeight="1">
      <c r="A27" s="1" t="s">
        <v>37</v>
      </c>
    </row>
    <row r="28" ht="15.75" customHeight="1">
      <c r="A28" s="1" t="s">
        <v>38</v>
      </c>
    </row>
    <row r="29" ht="15.75" customHeight="1">
      <c r="A29" s="1" t="s">
        <v>39</v>
      </c>
    </row>
    <row r="30" ht="15.75" customHeight="1">
      <c r="A30" s="1" t="s">
        <v>40</v>
      </c>
    </row>
    <row r="31" ht="15.75" customHeight="1">
      <c r="A31" s="2">
        <v>345.0</v>
      </c>
    </row>
    <row r="32" ht="15.75" customHeight="1">
      <c r="A32" s="1" t="s">
        <v>41</v>
      </c>
    </row>
    <row r="33" ht="15.75" customHeight="1">
      <c r="A33" s="1" t="s">
        <v>42</v>
      </c>
    </row>
    <row r="34" ht="15.75" customHeight="1">
      <c r="A34" s="2">
        <v>236.0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0</v>
      </c>
      <c r="C1" t="s">
        <v>1</v>
      </c>
    </row>
    <row r="2" ht="15.75" customHeight="1">
      <c r="A2" s="1" t="s">
        <v>43</v>
      </c>
      <c r="B2" s="2">
        <v>105.0</v>
      </c>
    </row>
    <row r="3" ht="15.75" customHeight="1"/>
    <row r="4" ht="15.75" customHeight="1">
      <c r="A4" t="s">
        <v>4</v>
      </c>
      <c r="B4" s="1">
        <v>85.67</v>
      </c>
    </row>
    <row r="5" ht="15.75" customHeight="1"/>
    <row r="6" ht="15.75" customHeight="1">
      <c r="A6" t="s">
        <v>6</v>
      </c>
      <c r="B6" s="1">
        <v>40.0</v>
      </c>
    </row>
    <row r="7" ht="15.75" customHeight="1">
      <c r="A7" t="s">
        <v>7</v>
      </c>
    </row>
    <row r="8" ht="15.75" customHeight="1">
      <c r="A8" t="s">
        <v>8</v>
      </c>
      <c r="C8" s="1">
        <v>900.0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25</v>
      </c>
    </row>
    <row r="13" ht="15.75" customHeight="1">
      <c r="A13" t="s">
        <v>23</v>
      </c>
      <c r="B13" s="1">
        <v>350.0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 s="4">
        <f t="shared" ref="B15:C15" si="1">sum(B2:B13)</f>
        <v>580.67</v>
      </c>
      <c r="C15">
        <f t="shared" si="1"/>
        <v>900</v>
      </c>
      <c r="D15" s="4">
        <f>C15-B15</f>
        <v>319.33</v>
      </c>
    </row>
    <row r="16" ht="15.75" customHeight="1"/>
    <row r="17" ht="15.75" customHeight="1"/>
    <row r="18" ht="15.75" customHeight="1"/>
    <row r="19" ht="15.75" customHeight="1">
      <c r="A19" s="1" t="s">
        <v>44</v>
      </c>
    </row>
    <row r="20" ht="15.75" customHeight="1">
      <c r="A20" s="2">
        <v>105.0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20</v>
      </c>
      <c r="B1" t="s">
        <v>0</v>
      </c>
      <c r="C1" t="s">
        <v>1</v>
      </c>
    </row>
    <row r="2" ht="15.75" customHeight="1"/>
    <row r="3" ht="15.75" customHeight="1">
      <c r="B3" t="s">
        <v>14</v>
      </c>
      <c r="C3" t="s">
        <v>14</v>
      </c>
      <c r="D3" t="s">
        <v>15</v>
      </c>
    </row>
    <row r="4" ht="15.75" customHeight="1">
      <c r="B4" s="4">
        <f>sum('260 East Taylors Crossing'!B15+'5525 Taylor Road'!B16+'4645 valais ct'!B15+'1120 Lauren way'!B15+'115 Peachtree Memorial Drive'!B15)</f>
        <v>7901.63</v>
      </c>
      <c r="C4">
        <f>sum('260 East Taylors Crossing'!C15+'5525 Taylor Road'!C16+'4645 valais ct'!C15+'1120 Lauren way'!C15+'115 Peachtree Memorial Drive'!C15)</f>
        <v>15556.99</v>
      </c>
      <c r="D4" s="4">
        <f>sum('260 East Taylors Crossing'!D15+'5525 Taylor Road'!D16+'4645 valais ct'!D15+'1120 Lauren way'!D15+'115 Peachtree Memorial Drive'!D15)</f>
        <v>7655.36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