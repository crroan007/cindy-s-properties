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645 valais ct " sheetId="1" r:id="rId4"/>
    <sheet state="visible" name="260 East Taylors Crossing" sheetId="2" r:id="rId5"/>
    <sheet state="visible" name="5525 Taylor Road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<sst xmlns="http://schemas.openxmlformats.org/spreadsheetml/2006/main" count="63" uniqueCount="19">
  <si>
    <t>Debits</t>
  </si>
  <si>
    <t>Credits</t>
  </si>
  <si>
    <t>Gas</t>
  </si>
  <si>
    <t>Electricity</t>
  </si>
  <si>
    <t>Water</t>
  </si>
  <si>
    <t>Internet</t>
  </si>
  <si>
    <t>Lawn Care</t>
  </si>
  <si>
    <t>HOA</t>
  </si>
  <si>
    <t>Repairs and Design</t>
  </si>
  <si>
    <t>Home Goods</t>
  </si>
  <si>
    <t>Cleaning and Supplies</t>
  </si>
  <si>
    <t>mortgage</t>
  </si>
  <si>
    <t>rental income</t>
  </si>
  <si>
    <t>Total</t>
  </si>
  <si>
    <t>Net</t>
  </si>
  <si>
    <t>Line Item</t>
  </si>
  <si>
    <t>airbnb cut</t>
  </si>
  <si>
    <t>rent</t>
  </si>
  <si>
    <t>waste mgmt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</si>
</sst>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/>
      <c r="B1" s="1" t="s">
        <v>0</v>
      </c>
      <c r="C1" s="1" t="s">
        <v>1</v>
      </c>
    </row>
    <row r="3">
      <c r="A3" s="1" t="s">
        <v>2</v>
      </c>
      <c r="B3" s="1"/>
    </row>
    <row r="4">
      <c r="A4" s="1" t="s">
        <v>3</v>
      </c>
      <c r="B4" s="1"/>
    </row>
    <row r="5">
      <c r="A5" s="1" t="s">
        <v>4</v>
      </c>
    </row>
    <row r="6">
      <c r="A6" s="1" t="s">
        <v>5</v>
      </c>
      <c r="B6" s="1"/>
    </row>
    <row r="7">
      <c r="A7" s="1" t="s">
        <v>6</v>
      </c>
    </row>
    <row r="8">
      <c r="A8" s="1" t="s">
        <v>7</v>
      </c>
      <c r="B8" s="1">
        <v>125.0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  <c r="B12" s="1">
        <v>841.0</v>
      </c>
    </row>
    <row r="13">
      <c r="A13" s="1" t="s">
        <v>12</v>
      </c>
      <c r="C13" s="1">
        <f>679+200+240</f>
        <v>1119</v>
      </c>
    </row>
    <row r="14">
      <c r="B14" s="1" t="s">
        <v>13</v>
      </c>
      <c r="C14" s="1" t="s">
        <v>13</v>
      </c>
      <c r="D14" s="1" t="s">
        <v>14</v>
      </c>
    </row>
    <row r="15">
      <c r="B15" s="2">
        <f>sum(B2:B13)</f>
        <v>966</v>
      </c>
      <c r="C15" s="2">
        <f>sum(C3:C13)</f>
        <v>1119</v>
      </c>
      <c r="D15" s="2">
        <f>C15-B15</f>
        <v>153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15</v>
      </c>
      <c r="B1" s="1" t="s">
        <v>0</v>
      </c>
      <c r="C1" s="1" t="s">
        <v>1</v>
      </c>
    </row>
    <row r="3">
      <c r="A3" s="1" t="s">
        <v>2</v>
      </c>
      <c r="B3" s="1">
        <v>48.48</v>
      </c>
    </row>
    <row r="4">
      <c r="A4" s="1" t="s">
        <v>3</v>
      </c>
      <c r="B4" s="1">
        <v>42.96</v>
      </c>
    </row>
    <row r="5">
      <c r="A5" s="1" t="s">
        <v>4</v>
      </c>
      <c r="B5" s="1">
        <v>85.29</v>
      </c>
    </row>
    <row r="6">
      <c r="A6" s="1" t="s">
        <v>5</v>
      </c>
      <c r="B6" s="1">
        <v>59.99</v>
      </c>
    </row>
    <row r="7">
      <c r="A7" s="1" t="s">
        <v>6</v>
      </c>
    </row>
    <row r="8">
      <c r="A8" s="1" t="s">
        <v>16</v>
      </c>
    </row>
    <row r="9">
      <c r="A9" s="1" t="s">
        <v>8</v>
      </c>
      <c r="B9">
        <f>300+700+620</f>
        <v>1620</v>
      </c>
    </row>
    <row r="10">
      <c r="A10" s="1" t="s">
        <v>9</v>
      </c>
    </row>
    <row r="11">
      <c r="A11" s="1" t="s">
        <v>10</v>
      </c>
    </row>
    <row r="13">
      <c r="A13" s="1" t="s">
        <v>17</v>
      </c>
      <c r="C13" s="1">
        <v>2825.0</v>
      </c>
    </row>
    <row r="14">
      <c r="B14" s="1" t="s">
        <v>13</v>
      </c>
      <c r="C14" s="1" t="s">
        <v>13</v>
      </c>
      <c r="D14" s="1" t="s">
        <v>14</v>
      </c>
    </row>
    <row r="15">
      <c r="B15" s="2">
        <f t="shared" ref="B15:C15" si="1">sum(B2:B13)</f>
        <v>1856.72</v>
      </c>
      <c r="C15" s="2">
        <f t="shared" si="1"/>
        <v>2825</v>
      </c>
      <c r="D15" s="2">
        <f>C15-B15</f>
        <v>968.28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15</v>
      </c>
      <c r="B1" s="1" t="s">
        <v>0</v>
      </c>
      <c r="C1" s="1" t="s">
        <v>1</v>
      </c>
    </row>
    <row r="3">
      <c r="A3" s="1" t="s">
        <v>2</v>
      </c>
      <c r="B3" s="1"/>
    </row>
    <row r="4">
      <c r="A4" s="1" t="s">
        <v>3</v>
      </c>
      <c r="B4" s="3"/>
    </row>
    <row r="5">
      <c r="A5" s="1" t="s">
        <v>4</v>
      </c>
    </row>
    <row r="6">
      <c r="A6" s="1" t="s">
        <v>5</v>
      </c>
      <c r="B6" s="3"/>
    </row>
    <row r="7">
      <c r="A7" s="1" t="s">
        <v>6</v>
      </c>
    </row>
    <row r="8">
      <c r="A8" s="1" t="s">
        <v>18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3">
      <c r="A13" s="1" t="s">
        <v>17</v>
      </c>
      <c r="C13" s="1">
        <v>900.0</v>
      </c>
    </row>
    <row r="14">
      <c r="B14" s="1" t="s">
        <v>13</v>
      </c>
      <c r="C14" s="1" t="s">
        <v>13</v>
      </c>
      <c r="D14" s="1" t="s">
        <v>14</v>
      </c>
    </row>
    <row r="15">
      <c r="B15" s="2">
        <f>sum(B2:B13)</f>
        <v>0</v>
      </c>
      <c r="C15" s="2">
        <f>sum(C3:C13)</f>
        <v>900</v>
      </c>
      <c r="D15" s="2">
        <f>C15-B15</f>
        <v>900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15</v>
      </c>
      <c r="B1" s="1" t="s">
        <v>0</v>
      </c>
      <c r="C1" s="1" t="s">
        <v>1</v>
      </c>
    </row>
    <row r="3">
      <c r="A3" s="1" t="s">
        <v>2</v>
      </c>
      <c r="B3">
        <f>sum('5525 Taylor Road'!B3+'260 East Taylors Crossing'!B3)</f>
        <v>48.48</v>
      </c>
      <c r="C3">
        <f>sum('5525 Taylor Road'!C3+'260 East Taylors Crossing'!C3)</f>
        <v>0</v>
      </c>
    </row>
    <row r="4">
      <c r="A4" s="1" t="s">
        <v>3</v>
      </c>
      <c r="B4" s="4">
        <f>sum('5525 Taylor Road'!B4+'260 East Taylors Crossing'!B4)</f>
        <v>42.96</v>
      </c>
      <c r="C4">
        <f>sum('5525 Taylor Road'!C4+'260 East Taylors Crossing'!C4)</f>
        <v>0</v>
      </c>
    </row>
    <row r="5">
      <c r="A5" s="1" t="s">
        <v>4</v>
      </c>
      <c r="B5">
        <f>sum('5525 Taylor Road'!B5+'260 East Taylors Crossing'!B5)</f>
        <v>85.29</v>
      </c>
      <c r="C5">
        <f>sum('5525 Taylor Road'!C5+'260 East Taylors Crossing'!C5)</f>
        <v>0</v>
      </c>
    </row>
    <row r="6">
      <c r="A6" s="1" t="s">
        <v>5</v>
      </c>
      <c r="B6" s="4">
        <f>sum('5525 Taylor Road'!B6+'260 East Taylors Crossing'!B6)</f>
        <v>59.99</v>
      </c>
      <c r="C6">
        <f>sum('5525 Taylor Road'!C6+'260 East Taylors Crossing'!C6)</f>
        <v>0</v>
      </c>
    </row>
    <row r="7">
      <c r="A7" s="1" t="s">
        <v>6</v>
      </c>
      <c r="B7">
        <f>sum('5525 Taylor Road'!B7+'260 East Taylors Crossing'!B7)</f>
        <v>0</v>
      </c>
      <c r="C7">
        <f>sum('5525 Taylor Road'!C7+'260 East Taylors Crossing'!C7)</f>
        <v>0</v>
      </c>
    </row>
    <row r="9">
      <c r="A9" s="1" t="s">
        <v>8</v>
      </c>
      <c r="B9">
        <f>sum('5525 Taylor Road'!B9+'260 East Taylors Crossing'!B9)</f>
        <v>1620</v>
      </c>
      <c r="C9">
        <f>sum('5525 Taylor Road'!C9+'260 East Taylors Crossing'!C9)</f>
        <v>0</v>
      </c>
    </row>
    <row r="10">
      <c r="A10" s="1" t="s">
        <v>9</v>
      </c>
      <c r="B10">
        <f>sum('5525 Taylor Road'!B10+'260 East Taylors Crossing'!B10)</f>
        <v>0</v>
      </c>
      <c r="C10">
        <f>sum('5525 Taylor Road'!C10+'260 East Taylors Crossing'!C10)</f>
        <v>0</v>
      </c>
    </row>
    <row r="11">
      <c r="A11" s="1" t="s">
        <v>10</v>
      </c>
      <c r="B11">
        <f>sum('5525 Taylor Road'!B11+'260 East Taylors Crossing'!B11)</f>
        <v>0</v>
      </c>
      <c r="C11">
        <f>sum('5525 Taylor Road'!C11+'260 East Taylors Crossing'!C11)</f>
        <v>0</v>
      </c>
    </row>
    <row r="13">
      <c r="A13" s="1" t="s">
        <v>12</v>
      </c>
    </row>
    <row r="14">
      <c r="B14" s="1" t="s">
        <v>13</v>
      </c>
      <c r="C14" s="1" t="s">
        <v>13</v>
      </c>
      <c r="D14" s="1" t="s">
        <v>14</v>
      </c>
    </row>
    <row r="15">
      <c r="B15" s="2">
        <f>sum('260 East Taylors Crossing'!B15+'5525 Taylor Road'!B15+'4645 valais ct '!B15)</f>
        <v>2822.72</v>
      </c>
      <c r="C15" s="2">
        <f>sum('260 East Taylors Crossing'!C15+'5525 Taylor Road'!C15+'4645 valais ct '!C15)</f>
        <v>4844</v>
      </c>
      <c r="D15" s="2">
        <f>C15-B15</f>
        <v>2021.28</v>
      </c>
    </row>
  </sheetData>
  <drawing r:id="rId1"/>
</worksheet>
</file>