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<sst xmlns="http://schemas.openxmlformats.org/spreadsheetml/2006/main" count="91" uniqueCount="23">
  <si>
    <t>Debits</t>
  </si>
  <si>
    <t>Credits</t>
  </si>
  <si>
    <t xml:space="preserve">water nov to jan 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</si>
  <si>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</si>
  <si>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</si>
  <si>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</si>
  <si>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</si>
  <si>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</si>
  <si>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</si>
  <si>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</si>
  <si>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</si>
  <si>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</si>
  <si>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</si>
  <si>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</si>
  <si>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</si>
  <si>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</si>
  <si>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Line Item</t>
  </si>
  <si>
    <t>RepublictrashNov/dec</t>
  </si>
  <si>
    <t>water nov to jan</t>
  </si>
  <si>
    <t>hoa</t>
  </si>
  <si>
    <t>mortgage</t>
  </si>
  <si>
    <t>Electricity/trash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</si>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</sst>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0</v>
      </c>
      <c r="C1" t="s">
        <v>1</v>
      </c>
    </row>
    <row r="2" ht="15.75" customHeight="1">
      <c r="A2" s="1" t="s">
        <v>2</v>
      </c>
      <c r="B2" s="1">
        <v>155.92</v>
      </c>
    </row>
    <row r="3" ht="15.75" customHeight="1">
      <c r="A3" t="s">
        <v>3</v>
      </c>
      <c r="B3" s="1">
        <v>122.23</v>
      </c>
    </row>
    <row r="4" ht="15.75" customHeight="1">
      <c r="A4" t="s">
        <v>4</v>
      </c>
      <c r="B4" s="1">
        <v>109.47</v>
      </c>
    </row>
    <row r="5" ht="15.75" customHeight="1">
      <c r="A5" t="s">
        <v>5</v>
      </c>
    </row>
    <row r="6" ht="15.75" customHeight="1">
      <c r="A6" t="s">
        <v>6</v>
      </c>
      <c r="B6" s="1">
        <v>102.1</v>
      </c>
    </row>
    <row r="7" ht="15.75" customHeight="1">
      <c r="A7" t="s">
        <v>7</v>
      </c>
    </row>
    <row r="8" ht="15.75" customHeight="1">
      <c r="A8" t="s">
        <v>8</v>
      </c>
      <c r="C8" s="1">
        <v>4250.0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s="1" t="s">
        <v>13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 s="1">
        <v>489.72</v>
      </c>
      <c r="C15">
        <f>sum(C2:C13)</f>
        <v>4250</v>
      </c>
      <c r="D15">
        <f>C15-B15</f>
        <v>3760.28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>
      <c r="A2" s="1" t="s">
        <v>17</v>
      </c>
      <c r="B2" s="3"/>
    </row>
    <row r="3" ht="15.75" customHeight="1">
      <c r="A3" t="s">
        <v>3</v>
      </c>
      <c r="B3" s="1">
        <v>128.39</v>
      </c>
    </row>
    <row r="4" ht="15.75" customHeight="1">
      <c r="A4" t="s">
        <v>4</v>
      </c>
      <c r="B4" s="1">
        <v>185.15</v>
      </c>
    </row>
    <row r="5" ht="15.75" customHeight="1">
      <c r="A5" s="1" t="s">
        <v>18</v>
      </c>
      <c r="B5" s="1">
        <v>118.35</v>
      </c>
    </row>
    <row r="6" ht="15.75" customHeight="1">
      <c r="A6" t="s">
        <v>6</v>
      </c>
      <c r="B6" s="1">
        <v>108.18</v>
      </c>
    </row>
    <row r="7" ht="15.75" customHeight="1">
      <c r="A7" t="s">
        <v>7</v>
      </c>
    </row>
    <row r="8" ht="15.75" customHeight="1">
      <c r="A8" t="s">
        <v>8</v>
      </c>
      <c r="C8" s="1">
        <v>2450.0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19</v>
      </c>
    </row>
    <row r="14" ht="15.75" customHeight="1"/>
    <row r="15" ht="15.75" customHeight="1">
      <c r="B15" t="s">
        <v>14</v>
      </c>
      <c r="C15" t="s">
        <v>14</v>
      </c>
      <c r="D15" t="s">
        <v>15</v>
      </c>
    </row>
    <row r="16" ht="15.75" customHeight="1">
      <c r="B16" s="1">
        <v>540.07</v>
      </c>
      <c r="C16">
        <f>sum(C3:C14)</f>
        <v>2450</v>
      </c>
      <c r="D16">
        <f>C16-B16</f>
        <v>1909.93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>
      <c r="A2" t="s">
        <v>20</v>
      </c>
      <c r="B2" s="1">
        <v>919.0</v>
      </c>
    </row>
    <row r="3" ht="15.75" customHeight="1">
      <c r="A3" t="s">
        <v>3</v>
      </c>
      <c r="B3" s="1">
        <v>73.0</v>
      </c>
    </row>
    <row r="4" ht="15.75" customHeight="1">
      <c r="A4" t="s">
        <v>4</v>
      </c>
      <c r="B4" s="1">
        <v>77.33</v>
      </c>
    </row>
    <row r="5" ht="15.75" customHeight="1"/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2350.0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19</v>
      </c>
      <c r="B13" s="1">
        <v>136.0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1255.33</v>
      </c>
      <c r="C15">
        <f t="shared" si="1"/>
        <v>2350</v>
      </c>
      <c r="D15">
        <f>C15-B15</f>
        <v>1094.67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>
      <c r="A2" t="s">
        <v>20</v>
      </c>
    </row>
    <row r="3" ht="15.75" customHeight="1">
      <c r="A3" t="s">
        <v>3</v>
      </c>
      <c r="B3" s="1">
        <v>110.63</v>
      </c>
    </row>
    <row r="4" ht="15.75" customHeight="1">
      <c r="A4" s="1" t="s">
        <v>21</v>
      </c>
      <c r="B4" s="1">
        <v>141.14</v>
      </c>
    </row>
    <row r="5" ht="15.75" customHeight="1">
      <c r="A5" s="1" t="s">
        <v>22</v>
      </c>
      <c r="B5" s="1">
        <v>54.6</v>
      </c>
    </row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2350.0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19</v>
      </c>
    </row>
    <row r="14" ht="15.75" customHeight="1">
      <c r="B14" s="1">
        <v>356.37</v>
      </c>
      <c r="C14" t="s">
        <v>14</v>
      </c>
      <c r="D14" t="s">
        <v>15</v>
      </c>
    </row>
    <row r="15" ht="15.75" customHeight="1">
      <c r="D15" s="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14.0</v>
      </c>
      <c r="B1" t="s">
        <v>0</v>
      </c>
      <c r="C1" t="s">
        <v>1</v>
      </c>
    </row>
    <row r="2" ht="15.75" customHeight="1">
      <c r="A2" t="s">
        <v>20</v>
      </c>
    </row>
    <row r="3" ht="15.75" customHeight="1">
      <c r="A3" t="s">
        <v>3</v>
      </c>
    </row>
    <row r="4" ht="15.75" customHeight="1">
      <c r="A4" t="s">
        <v>4</v>
      </c>
      <c r="B4" s="1">
        <v>142.59</v>
      </c>
    </row>
    <row r="5" ht="15.75" customHeight="1"/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1800.0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19</v>
      </c>
      <c r="B13" s="1">
        <v>350.0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542.59</v>
      </c>
      <c r="C15">
        <f t="shared" si="1"/>
        <v>1800</v>
      </c>
      <c r="D15">
        <f>C15-B15</f>
        <v>1257.41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/>
    <row r="3" ht="15.75" customHeight="1">
      <c r="B3" t="s">
        <v>14</v>
      </c>
      <c r="C3" t="s">
        <v>14</v>
      </c>
      <c r="D3" t="s">
        <v>15</v>
      </c>
    </row>
    <row r="4" ht="15.75" customHeight="1">
      <c r="B4">
        <f>sum('260 East Taylors Crossing'!B15+'5525 Taylor Road'!B16+'4645 valais ct'!B15+'1120 Lauren way'!B15+'115 Peachtree Memorial Drive'!B15)</f>
        <v>2827.71</v>
      </c>
      <c r="C4">
        <f>sum('260 East Taylors Crossing'!C15+'5525 Taylor Road'!C16+'4645 valais ct'!C15+'1120 Lauren way'!C15+'115 Peachtree Memorial Drive'!C15)</f>
        <v>10850</v>
      </c>
      <c r="D4">
        <f>sum('260 East Taylors Crossing'!D15+'5525 Taylor Road'!D16+'4645 valais ct'!D15+'1120 Lauren way'!D15+'115 Peachtree Memorial Drive'!D15)</f>
        <v>8022.29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