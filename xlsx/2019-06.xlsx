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0 East Taylors Crossing" sheetId="1" r:id="rId4"/>
    <sheet state="visible" name="5525 Taylor Road" sheetId="2" r:id="rId5"/>
    <sheet state="visible" name="4645 valais ct" sheetId="3" r:id="rId6"/>
    <sheet state="visible" name="1120 Lauren way" sheetId="4" r:id="rId7"/>
    <sheet state="visible" name="115 Peachtree Memorial Drive" sheetId="5" r:id="rId8"/>
    <sheet state="visible" name="Totals" sheetId="6" r:id="rId9"/>
  </sheets>
  <definedNames/>
  <calcPr/>
</workbook>
</file>

<file path=xl/sharedStrings.xml><?xml version="1.0" encoding="utf-8"?>
<sst xmlns="http://schemas.openxmlformats.org/spreadsheetml/2006/main" count="103" uniqueCount="43">
  <si>
    <t>Line Item</t>
  </si>
  <si>
    <t>Debits</t>
  </si>
  <si>
    <t>Credits</t>
  </si>
  <si>
    <t>water/sewer 3 mths</t>
  </si>
  <si>
    <t>Gas</t>
  </si>
  <si>
    <t>Electricity</t>
  </si>
  <si>
    <t>yearly home  insurance</t>
  </si>
  <si>
    <t>internet/cable</t>
  </si>
  <si>
    <t>Lawn Care</t>
  </si>
  <si>
    <t xml:space="preserve">rental income </t>
  </si>
  <si>
    <t>Repairs and Design</t>
  </si>
  <si>
    <t>Home Goods</t>
  </si>
  <si>
    <t>Cleaning and Supplies</t>
  </si>
  <si>
    <t xml:space="preserve">pest control </t>
  </si>
  <si>
    <t>annual nest subscrip</t>
  </si>
  <si>
    <t>Total</t>
  </si>
  <si>
    <t>Net</t>
  </si>
  <si>
    <t>waste mgmt</t>
  </si>
  <si>
    <t xml:space="preserve">republic services </t>
  </si>
  <si>
    <t>hoa</t>
  </si>
  <si>
    <t>mortgage</t>
  </si>
  <si>
    <t>water heater tankless</t>
  </si>
  <si>
    <t>cobb water</t>
  </si>
  <si>
    <t>new siding/painting</t>
  </si>
  <si>
    <t xml:space="preserve">new roof </t>
  </si>
  <si>
    <t>pool services</t>
  </si>
  <si>
    <t>Roof replacement labour</t>
  </si>
  <si>
    <t>and materials</t>
  </si>
  <si>
    <t>6/29/19 - $7500</t>
  </si>
  <si>
    <t xml:space="preserve">PMC materials </t>
  </si>
  <si>
    <t>paint $637</t>
  </si>
  <si>
    <t>dumpster $409</t>
  </si>
  <si>
    <t>siding $3948.13</t>
  </si>
  <si>
    <t>materials $107.37</t>
  </si>
  <si>
    <t>soffit $500</t>
  </si>
  <si>
    <t>water heater  tankless</t>
  </si>
  <si>
    <t>labour for siding painting</t>
  </si>
  <si>
    <t>$3k</t>
  </si>
  <si>
    <t>Siding labour $5300</t>
  </si>
  <si>
    <t>all materials for siding</t>
  </si>
  <si>
    <t>siding plus painting</t>
  </si>
  <si>
    <t>total $15020</t>
  </si>
  <si>
    <t>roof plus siding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</si>
</sst>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4" xfId="0" applyFont="1" applyNumberForma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s="1" t="s">
        <v>3</v>
      </c>
    </row>
    <row r="3" ht="15.75" customHeight="1">
      <c r="A3" t="s">
        <v>4</v>
      </c>
      <c r="B3" s="1">
        <v>39.3</v>
      </c>
    </row>
    <row r="4" ht="15.75" customHeight="1">
      <c r="A4" t="s">
        <v>5</v>
      </c>
      <c r="B4" s="1">
        <v>172.98</v>
      </c>
    </row>
    <row r="5" ht="15.75" customHeight="1">
      <c r="A5" t="s">
        <v>6</v>
      </c>
    </row>
    <row r="6" ht="15.75" customHeight="1">
      <c r="A6" t="s">
        <v>7</v>
      </c>
      <c r="B6" s="1">
        <v>102.1</v>
      </c>
    </row>
    <row r="7" ht="15.75" customHeight="1">
      <c r="A7" t="s">
        <v>8</v>
      </c>
    </row>
    <row r="8" ht="15.75" customHeight="1">
      <c r="A8" t="s">
        <v>9</v>
      </c>
      <c r="C8" s="1">
        <v>4250.0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s="1" t="s">
        <v>14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 s="1">
        <v>314.38</v>
      </c>
      <c r="C15">
        <f>sum(C2:C13)</f>
        <v>4250</v>
      </c>
      <c r="D15">
        <f>C15-B15</f>
        <v>3935.62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>
      <c r="A21" s="2"/>
    </row>
    <row r="22" ht="15.75" customHeight="1"/>
    <row r="23" ht="15.75" customHeight="1">
      <c r="A23" s="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s="1" t="s">
        <v>17</v>
      </c>
      <c r="B2" s="3">
        <v>53.64</v>
      </c>
    </row>
    <row r="3" ht="15.75" customHeight="1">
      <c r="A3" t="s">
        <v>4</v>
      </c>
      <c r="B3" s="1">
        <v>32.77</v>
      </c>
    </row>
    <row r="4" ht="15.75" customHeight="1">
      <c r="A4" t="s">
        <v>5</v>
      </c>
      <c r="B4" s="1">
        <v>179.03</v>
      </c>
    </row>
    <row r="5" ht="15.75" customHeight="1">
      <c r="A5" s="1" t="s">
        <v>18</v>
      </c>
      <c r="B5" s="1">
        <v>95.04</v>
      </c>
    </row>
    <row r="6" ht="15.75" customHeight="1">
      <c r="A6" t="s">
        <v>7</v>
      </c>
      <c r="B6" s="1">
        <v>102.1</v>
      </c>
    </row>
    <row r="7" ht="15.75" customHeight="1">
      <c r="A7" t="s">
        <v>8</v>
      </c>
    </row>
    <row r="8" ht="15.75" customHeight="1">
      <c r="A8" t="s">
        <v>9</v>
      </c>
      <c r="C8" s="1">
        <v>3450.0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19</v>
      </c>
      <c r="B13" s="1">
        <v>250.0</v>
      </c>
    </row>
    <row r="14" ht="15.75" customHeight="1"/>
    <row r="15" ht="15.75" customHeight="1">
      <c r="C15" t="s">
        <v>15</v>
      </c>
      <c r="D15" t="s">
        <v>16</v>
      </c>
    </row>
    <row r="16" ht="15.75" customHeight="1">
      <c r="B16" s="1">
        <v>712.58</v>
      </c>
      <c r="C16">
        <f>sum(C3:C14)</f>
        <v>3450</v>
      </c>
      <c r="D16">
        <f>C16-B16</f>
        <v>2737.42</v>
      </c>
    </row>
    <row r="17" ht="15.75" customHeight="1"/>
    <row r="18" ht="15.75" customHeight="1"/>
    <row r="19" ht="15.75" customHeight="1">
      <c r="A19" s="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20</v>
      </c>
      <c r="B2" s="1">
        <v>950.0</v>
      </c>
    </row>
    <row r="3" ht="15.75" customHeight="1">
      <c r="A3" t="s">
        <v>4</v>
      </c>
      <c r="B3" s="1">
        <v>34.63</v>
      </c>
    </row>
    <row r="4" ht="15.75" customHeight="1">
      <c r="A4" t="s">
        <v>5</v>
      </c>
      <c r="B4" s="1">
        <v>97.81</v>
      </c>
    </row>
    <row r="5" ht="15.75" customHeight="1"/>
    <row r="6" ht="15.75" customHeight="1">
      <c r="A6" t="s">
        <v>7</v>
      </c>
      <c r="B6" s="1">
        <v>96.45</v>
      </c>
    </row>
    <row r="7" ht="15.75" customHeight="1">
      <c r="A7" t="s">
        <v>8</v>
      </c>
    </row>
    <row r="8" ht="15.75" customHeight="1">
      <c r="A8" t="s">
        <v>9</v>
      </c>
      <c r="C8" s="1">
        <v>2350.0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19</v>
      </c>
      <c r="B13" s="1">
        <v>136.0</v>
      </c>
    </row>
    <row r="14" ht="15.75" customHeight="1">
      <c r="B14" s="1">
        <v>1314.89</v>
      </c>
      <c r="C14" s="1">
        <v>2350.0</v>
      </c>
      <c r="D14" s="1">
        <v>1035.11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s="1" t="s">
        <v>21</v>
      </c>
      <c r="B2" s="1">
        <v>1323.0</v>
      </c>
    </row>
    <row r="3" ht="15.75" customHeight="1">
      <c r="A3" t="s">
        <v>4</v>
      </c>
      <c r="B3" s="1">
        <v>43.98</v>
      </c>
    </row>
    <row r="4" ht="15.75" customHeight="1">
      <c r="A4" t="s">
        <v>5</v>
      </c>
      <c r="B4" s="1">
        <v>482.02</v>
      </c>
    </row>
    <row r="5" ht="15.75" customHeight="1">
      <c r="A5" s="1" t="s">
        <v>22</v>
      </c>
      <c r="B5" s="1">
        <v>44.09</v>
      </c>
    </row>
    <row r="6" ht="15.75" customHeight="1">
      <c r="A6" t="s">
        <v>7</v>
      </c>
      <c r="B6" s="1">
        <v>96.68</v>
      </c>
    </row>
    <row r="7" ht="15.75" customHeight="1">
      <c r="A7" t="s">
        <v>8</v>
      </c>
      <c r="B7" s="1">
        <v>45.0</v>
      </c>
    </row>
    <row r="8" ht="15.75" customHeight="1">
      <c r="A8" t="s">
        <v>9</v>
      </c>
      <c r="C8" s="1">
        <v>2600.0</v>
      </c>
    </row>
    <row r="9" ht="15.75" customHeight="1">
      <c r="A9" s="1" t="s">
        <v>23</v>
      </c>
      <c r="B9" s="1">
        <v>15020.0</v>
      </c>
    </row>
    <row r="10" ht="15.75" customHeight="1">
      <c r="A10" s="1" t="s">
        <v>24</v>
      </c>
      <c r="B10" s="1">
        <v>7500.0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s="1" t="s">
        <v>25</v>
      </c>
      <c r="B13" s="1">
        <v>349.5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 s="4">
        <v>23011.18</v>
      </c>
      <c r="C15">
        <f>sum(C2:C13)</f>
        <v>2600</v>
      </c>
      <c r="D15" s="3">
        <v>-20411.18</v>
      </c>
    </row>
    <row r="16" ht="15.75" customHeight="1">
      <c r="A16" s="1" t="s">
        <v>26</v>
      </c>
      <c r="B16" s="1" t="s">
        <v>27</v>
      </c>
    </row>
    <row r="17" ht="15.75" customHeight="1">
      <c r="A17" s="1" t="s">
        <v>28</v>
      </c>
    </row>
    <row r="18" ht="15.75" customHeight="1">
      <c r="A18" s="1" t="s">
        <v>29</v>
      </c>
    </row>
    <row r="19" ht="15.75" customHeight="1">
      <c r="A19" s="3">
        <v>1118.83</v>
      </c>
    </row>
    <row r="20" ht="15.75" customHeight="1">
      <c r="A20" s="1" t="s">
        <v>30</v>
      </c>
    </row>
    <row r="21" ht="15.75" customHeight="1">
      <c r="A21" s="1" t="s">
        <v>31</v>
      </c>
    </row>
    <row r="22" ht="15.75" customHeight="1">
      <c r="A22" s="1" t="s">
        <v>32</v>
      </c>
    </row>
    <row r="23" ht="15.75" customHeight="1">
      <c r="A23" s="1" t="s">
        <v>33</v>
      </c>
    </row>
    <row r="24" ht="15.75" customHeight="1">
      <c r="A24" s="1" t="s">
        <v>34</v>
      </c>
    </row>
    <row r="25" ht="15.75" customHeight="1">
      <c r="A25" s="1" t="s">
        <v>35</v>
      </c>
    </row>
    <row r="26" ht="15.75" customHeight="1">
      <c r="A26" s="2">
        <v>1323.0</v>
      </c>
    </row>
    <row r="27" ht="15.75" customHeight="1"/>
    <row r="28" ht="15.75" customHeight="1">
      <c r="A28" s="1" t="s">
        <v>36</v>
      </c>
    </row>
    <row r="29" ht="15.75" customHeight="1">
      <c r="A29" s="1" t="s">
        <v>37</v>
      </c>
    </row>
    <row r="30" ht="15.75" customHeight="1">
      <c r="A30" s="1" t="s">
        <v>38</v>
      </c>
    </row>
    <row r="31" ht="15.75" customHeight="1">
      <c r="A31" s="1" t="s">
        <v>39</v>
      </c>
    </row>
    <row r="32" ht="15.75" customHeight="1">
      <c r="A32" s="3">
        <v>6720.33</v>
      </c>
    </row>
    <row r="33" ht="15.75" customHeight="1">
      <c r="A33" s="1" t="s">
        <v>40</v>
      </c>
    </row>
    <row r="34" ht="15.75" customHeight="1">
      <c r="A34" s="1" t="s">
        <v>41</v>
      </c>
    </row>
    <row r="35" ht="15.75" customHeight="1"/>
    <row r="36" ht="15.75" customHeight="1"/>
    <row r="37" ht="15.75" customHeight="1">
      <c r="A37" s="1" t="s">
        <v>42</v>
      </c>
    </row>
    <row r="38" ht="15.75" customHeight="1">
      <c r="A38" s="2">
        <v>22520.0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B1" t="s">
        <v>1</v>
      </c>
      <c r="C1" t="s">
        <v>2</v>
      </c>
    </row>
    <row r="2" ht="15.75" customHeight="1">
      <c r="A2" t="s">
        <v>20</v>
      </c>
    </row>
    <row r="3" ht="15.75" customHeight="1">
      <c r="A3" t="s">
        <v>4</v>
      </c>
    </row>
    <row r="4" ht="15.75" customHeight="1">
      <c r="A4" t="s">
        <v>5</v>
      </c>
      <c r="B4" s="1">
        <v>142.9</v>
      </c>
    </row>
    <row r="5" ht="15.75" customHeight="1"/>
    <row r="6" ht="15.75" customHeight="1">
      <c r="A6" t="s">
        <v>7</v>
      </c>
      <c r="B6" s="1">
        <v>50.0</v>
      </c>
    </row>
    <row r="7" ht="15.75" customHeight="1">
      <c r="A7" t="s">
        <v>8</v>
      </c>
    </row>
    <row r="8" ht="15.75" customHeight="1">
      <c r="A8" t="s">
        <v>9</v>
      </c>
      <c r="C8" s="1">
        <v>1750.0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19</v>
      </c>
      <c r="B13" s="1">
        <v>350.0</v>
      </c>
    </row>
    <row r="14" ht="15.75" customHeight="1">
      <c r="B14" s="1">
        <v>542.9</v>
      </c>
      <c r="C14" s="1">
        <v>1750.0</v>
      </c>
      <c r="D14" s="1">
        <v>1207.1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/>
    <row r="3" ht="15.75" customHeight="1">
      <c r="B3" t="s">
        <v>15</v>
      </c>
      <c r="C3" t="s">
        <v>15</v>
      </c>
      <c r="D3" t="s">
        <v>16</v>
      </c>
    </row>
    <row r="4" ht="15.75" customHeight="1">
      <c r="B4" s="5">
        <f>sum('260 East Taylors Crossing'!B15+'5525 Taylor Road'!B16+'4645 valais ct'!B15+'1120 Lauren way'!B15+'115 Peachtree Memorial Drive'!B15)</f>
        <v>24038.14</v>
      </c>
      <c r="C4">
        <f>sum('260 East Taylors Crossing'!C15+'5525 Taylor Road'!C16+'4645 valais ct'!C15+'1120 Lauren way'!C15+'115 Peachtree Memorial Drive'!C15)</f>
        <v>10300</v>
      </c>
      <c r="D4" s="6">
        <f>sum('260 East Taylors Crossing'!D15+'5525 Taylor Road'!D16+'4645 valais ct'!D15+'1120 Lauren way'!D15+'115 Peachtree Memorial Drive'!D15)</f>
        <v>-13738.14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