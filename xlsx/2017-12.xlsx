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<sst xmlns="http://schemas.openxmlformats.org/spreadsheetml/2006/main" count="104" uniqueCount="28">
  <si>
    <t>Line Item</t>
  </si>
  <si>
    <t>Debits</t>
  </si>
  <si>
    <t>Credits</t>
  </si>
  <si>
    <t>mortgage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</si>
  <si>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</si>
  <si>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</si>
  <si>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</si>
  <si>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</si>
  <si>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</si>
  <si>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</si>
  <si>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</si>
  <si>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</si>
  <si>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</si>
  <si>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>water 3 months</t>
  </si>
  <si>
    <t>trash republic</t>
  </si>
  <si>
    <t>Total</t>
  </si>
  <si>
    <t>Net</t>
  </si>
  <si>
    <t>property tax 2017</t>
  </si>
  <si>
    <t>check 1207</t>
  </si>
  <si>
    <t xml:space="preserve">pest control </t>
  </si>
  <si>
    <t>hoa</t>
  </si>
  <si>
    <t>check 1208</t>
  </si>
  <si>
    <t>Chad debris removal</t>
  </si>
  <si>
    <t>Laminate flooring labour</t>
  </si>
  <si>
    <t>Laminate $500.00</t>
  </si>
  <si>
    <t>check 1209</t>
  </si>
  <si>
    <t>ikea $60</t>
  </si>
  <si>
    <t>bargainhunt $250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</si>
</sst>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80.07</v>
      </c>
    </row>
    <row r="4">
      <c r="A4" s="1" t="s">
        <v>5</v>
      </c>
      <c r="B4" s="1">
        <v>75.02</v>
      </c>
    </row>
    <row r="5">
      <c r="A5" s="1" t="s">
        <v>6</v>
      </c>
      <c r="B5" s="1"/>
    </row>
    <row r="6">
      <c r="A6" s="1" t="s">
        <v>7</v>
      </c>
      <c r="B6" s="1">
        <v>50.0</v>
      </c>
    </row>
    <row r="7">
      <c r="A7" s="1" t="s">
        <v>8</v>
      </c>
      <c r="C7" s="1"/>
    </row>
    <row r="8">
      <c r="A8" s="1" t="s">
        <v>9</v>
      </c>
      <c r="C8" s="1">
        <v>2500.0</v>
      </c>
    </row>
    <row r="9">
      <c r="A9" s="1" t="s">
        <v>10</v>
      </c>
      <c r="B9" s="1">
        <v>40.0</v>
      </c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>
        <v>102.93</v>
      </c>
    </row>
    <row r="13">
      <c r="A13" s="1" t="s">
        <v>14</v>
      </c>
      <c r="B13" s="1">
        <v>60.0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408.02</v>
      </c>
      <c r="C15" s="1">
        <f t="shared" si="1"/>
        <v>2500</v>
      </c>
      <c r="D15" s="1">
        <f>C15-B15</f>
        <v>2091.98</v>
      </c>
    </row>
    <row r="16">
      <c r="A16" s="1" t="s">
        <v>17</v>
      </c>
    </row>
    <row r="17">
      <c r="A17" s="2">
        <v>3019.83</v>
      </c>
    </row>
    <row r="18">
      <c r="A18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78.49</v>
      </c>
    </row>
    <row r="4">
      <c r="A4" s="1" t="s">
        <v>5</v>
      </c>
      <c r="B4" s="1">
        <v>113.42</v>
      </c>
    </row>
    <row r="5">
      <c r="A5" s="1"/>
    </row>
    <row r="6">
      <c r="A6" s="1" t="s">
        <v>7</v>
      </c>
      <c r="B6" s="1">
        <v>153.85</v>
      </c>
    </row>
    <row r="7">
      <c r="A7" s="1" t="s">
        <v>8</v>
      </c>
      <c r="B7" s="1"/>
    </row>
    <row r="8">
      <c r="A8" s="1" t="s">
        <v>9</v>
      </c>
      <c r="C8" s="1">
        <v>900.0</v>
      </c>
    </row>
    <row r="9">
      <c r="A9" s="1" t="s">
        <v>10</v>
      </c>
      <c r="B9" s="1"/>
    </row>
    <row r="10">
      <c r="A10" s="1" t="s">
        <v>11</v>
      </c>
      <c r="B10" s="1">
        <v>21.0</v>
      </c>
    </row>
    <row r="11">
      <c r="A11" s="1" t="s">
        <v>12</v>
      </c>
      <c r="B11" s="1"/>
    </row>
    <row r="12">
      <c r="A12" s="1" t="s">
        <v>19</v>
      </c>
      <c r="B12" s="1"/>
    </row>
    <row r="13">
      <c r="A13" s="1" t="s">
        <v>20</v>
      </c>
    </row>
    <row r="14">
      <c r="A14" s="1" t="s">
        <v>13</v>
      </c>
      <c r="B14" s="1">
        <v>93.91</v>
      </c>
    </row>
    <row r="15">
      <c r="B15" s="1" t="s">
        <v>15</v>
      </c>
      <c r="C15" s="1" t="s">
        <v>15</v>
      </c>
      <c r="D15" s="1" t="s">
        <v>16</v>
      </c>
    </row>
    <row r="16">
      <c r="B16" s="1">
        <f t="shared" ref="B16:C16" si="1">sum(B3:B14)</f>
        <v>460.67</v>
      </c>
      <c r="C16" s="1">
        <f t="shared" si="1"/>
        <v>900</v>
      </c>
      <c r="D16" s="1">
        <f>C16-B16</f>
        <v>439.33</v>
      </c>
    </row>
    <row r="18">
      <c r="A18" s="1" t="s">
        <v>17</v>
      </c>
    </row>
    <row r="19">
      <c r="A19" s="2">
        <v>2831.78</v>
      </c>
    </row>
    <row r="20">
      <c r="A20" s="1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813.0</v>
      </c>
    </row>
    <row r="3">
      <c r="A3" s="1" t="s">
        <v>4</v>
      </c>
      <c r="B3" s="1">
        <v>48.73</v>
      </c>
    </row>
    <row r="4">
      <c r="A4" s="1" t="s">
        <v>5</v>
      </c>
      <c r="B4" s="1">
        <v>42.6</v>
      </c>
    </row>
    <row r="5">
      <c r="A5" s="1"/>
    </row>
    <row r="6">
      <c r="A6" s="1" t="s">
        <v>7</v>
      </c>
      <c r="B6" s="1">
        <v>50.0</v>
      </c>
      <c r="C6" s="1"/>
    </row>
    <row r="7">
      <c r="A7" s="1" t="s">
        <v>8</v>
      </c>
    </row>
    <row r="8">
      <c r="A8" s="1" t="s">
        <v>9</v>
      </c>
      <c r="C8" s="1">
        <v>1020.0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19</v>
      </c>
      <c r="B12" s="1"/>
    </row>
    <row r="13">
      <c r="A13" s="1" t="s">
        <v>20</v>
      </c>
      <c r="B13" s="1">
        <v>125.0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1079.33</v>
      </c>
      <c r="C15" s="1">
        <f t="shared" si="1"/>
        <v>1020</v>
      </c>
      <c r="D15" s="1">
        <f>C15-B15</f>
        <v>-59.33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896.0</v>
      </c>
    </row>
    <row r="3">
      <c r="A3" s="1" t="s">
        <v>4</v>
      </c>
      <c r="B3" s="1">
        <v>152.47</v>
      </c>
    </row>
    <row r="4">
      <c r="A4" s="1" t="s">
        <v>5</v>
      </c>
      <c r="B4" s="1">
        <v>90.99</v>
      </c>
    </row>
    <row r="5">
      <c r="A5" s="1"/>
    </row>
    <row r="6">
      <c r="A6" s="1" t="s">
        <v>7</v>
      </c>
      <c r="B6" s="1"/>
      <c r="C6" s="1"/>
    </row>
    <row r="7">
      <c r="A7" s="1" t="s">
        <v>8</v>
      </c>
      <c r="B7" s="1">
        <v>44.0</v>
      </c>
    </row>
    <row r="8">
      <c r="A8" s="1" t="s">
        <v>9</v>
      </c>
      <c r="C8" s="1">
        <v>1880.0</v>
      </c>
    </row>
    <row r="9">
      <c r="A9" s="1" t="s">
        <v>10</v>
      </c>
      <c r="B9" s="1">
        <v>400.0</v>
      </c>
    </row>
    <row r="10">
      <c r="A10" s="1" t="s">
        <v>11</v>
      </c>
      <c r="B10" s="1">
        <v>66.83</v>
      </c>
    </row>
    <row r="11">
      <c r="A11" s="1" t="s">
        <v>12</v>
      </c>
      <c r="B11" s="1"/>
    </row>
    <row r="12">
      <c r="A12" s="1" t="s">
        <v>19</v>
      </c>
      <c r="B12" s="1"/>
    </row>
    <row r="13">
      <c r="A13" s="1" t="s">
        <v>20</v>
      </c>
      <c r="B13" s="1"/>
    </row>
    <row r="14">
      <c r="B14" s="1" t="s">
        <v>15</v>
      </c>
      <c r="C14" s="1" t="s">
        <v>15</v>
      </c>
      <c r="D14" s="1" t="s">
        <v>16</v>
      </c>
    </row>
    <row r="15">
      <c r="B15" s="1">
        <f>sum(B2:B13)+300+1500+500</f>
        <v>3950.29</v>
      </c>
      <c r="C15" s="1">
        <f>sum(C2:C13)</f>
        <v>1880</v>
      </c>
      <c r="D15" s="1">
        <f>C15-B15</f>
        <v>-2070.29</v>
      </c>
    </row>
    <row r="16">
      <c r="A16" s="1" t="s">
        <v>22</v>
      </c>
    </row>
    <row r="17">
      <c r="A17" s="3">
        <v>300.0</v>
      </c>
    </row>
    <row r="18">
      <c r="A18" s="1" t="s">
        <v>23</v>
      </c>
    </row>
    <row r="19">
      <c r="A19" s="3">
        <v>1500.0</v>
      </c>
    </row>
    <row r="20">
      <c r="A20" s="1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/>
    </row>
    <row r="3">
      <c r="A3" s="1" t="s">
        <v>4</v>
      </c>
      <c r="B3" s="1"/>
    </row>
    <row r="4">
      <c r="A4" s="1" t="s">
        <v>5</v>
      </c>
      <c r="B4" s="1">
        <v>32.25</v>
      </c>
    </row>
    <row r="5">
      <c r="A5" s="1"/>
    </row>
    <row r="6">
      <c r="A6" s="1" t="s">
        <v>7</v>
      </c>
      <c r="B6" s="1">
        <v>40.0</v>
      </c>
      <c r="C6" s="1"/>
    </row>
    <row r="7">
      <c r="A7" s="1" t="s">
        <v>8</v>
      </c>
      <c r="C7" s="1"/>
    </row>
    <row r="8">
      <c r="A8" s="1" t="s">
        <v>9</v>
      </c>
      <c r="C8" s="1">
        <v>437.0</v>
      </c>
    </row>
    <row r="9">
      <c r="A9" s="1" t="s">
        <v>10</v>
      </c>
      <c r="B9" s="1">
        <v>250.0</v>
      </c>
    </row>
    <row r="10">
      <c r="A10" s="1" t="s">
        <v>11</v>
      </c>
      <c r="B10" s="1">
        <v>200.0</v>
      </c>
    </row>
    <row r="11">
      <c r="A11" s="1" t="s">
        <v>12</v>
      </c>
      <c r="B11" s="1"/>
    </row>
    <row r="12">
      <c r="A12" s="1" t="s">
        <v>19</v>
      </c>
      <c r="B12" s="1"/>
    </row>
    <row r="13">
      <c r="A13" s="1" t="s">
        <v>20</v>
      </c>
      <c r="B13" s="1">
        <v>350.0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>sum(B2:B13)+1864.59+60+250</f>
        <v>3046.84</v>
      </c>
      <c r="C15" s="1">
        <f>sum(C2:C13)</f>
        <v>437</v>
      </c>
      <c r="D15" s="1">
        <f>C15-B15</f>
        <v>-2609.84</v>
      </c>
    </row>
    <row r="16">
      <c r="A16" s="1" t="s">
        <v>17</v>
      </c>
    </row>
    <row r="17">
      <c r="A17" s="2">
        <v>1864.59</v>
      </c>
    </row>
    <row r="18">
      <c r="A18" s="1" t="s">
        <v>25</v>
      </c>
    </row>
    <row r="19">
      <c r="A19" s="1" t="s">
        <v>26</v>
      </c>
    </row>
    <row r="20">
      <c r="A20" s="1" t="s">
        <v>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15</v>
      </c>
      <c r="C3" s="1" t="s">
        <v>15</v>
      </c>
      <c r="D3" s="1" t="s">
        <v>16</v>
      </c>
    </row>
    <row r="4">
      <c r="B4">
        <f>sum('260 East Taylors Crossing'!B15+'5525 Taylor Road'!B16+'4645 valais ct'!B15+'1120 Lauren way'!B15+'115 Peachtree Memorial Drive'!B15)</f>
        <v>8945.15</v>
      </c>
      <c r="C4">
        <f>sum('260 East Taylors Crossing'!C15+'5525 Taylor Road'!C16+'4645 valais ct'!C15+'1120 Lauren way'!C15+'115 Peachtree Memorial Drive'!C15)</f>
        <v>6737</v>
      </c>
      <c r="D4">
        <f>C4-B4</f>
        <v>-2208.15</v>
      </c>
    </row>
  </sheetData>
  <drawing r:id="rId1"/>
</worksheet>
</file>