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Totals" sheetId="4" r:id="rId7"/>
  </sheets>
  <definedNames/>
  <calcPr/>
</workbook>
</file>

<file path=xl/sharedStrings.xml><?xml version="1.0" encoding="utf-8"?>
<sst xmlns="http://schemas.openxmlformats.org/spreadsheetml/2006/main" count="64" uniqueCount="25">
  <si>
    <t>-9=477</t>
  </si>
  <si>
    <t>Debits</t>
  </si>
  <si>
    <t>Credits</t>
  </si>
  <si>
    <t>Gas</t>
  </si>
  <si>
    <t>Electricity</t>
  </si>
  <si>
    <t>Water</t>
  </si>
  <si>
    <t>internet</t>
  </si>
  <si>
    <t>Lawn Care</t>
  </si>
  <si>
    <t>rental income</t>
  </si>
  <si>
    <t>Repairs and Design</t>
  </si>
  <si>
    <t>Home Goods</t>
  </si>
  <si>
    <t>Cleaning and Supplies</t>
  </si>
  <si>
    <t>replace sewage pump</t>
  </si>
  <si>
    <t>Total</t>
  </si>
  <si>
    <t>Net</t>
  </si>
  <si>
    <t>Line Item</t>
  </si>
  <si>
    <t>internet/cable</t>
  </si>
  <si>
    <t>Lawn Care per year</t>
  </si>
  <si>
    <t>rent</t>
  </si>
  <si>
    <t xml:space="preserve">pest control </t>
  </si>
  <si>
    <t>deck repair</t>
  </si>
  <si>
    <t>mortgage</t>
  </si>
  <si>
    <t xml:space="preserve">rental income </t>
  </si>
  <si>
    <t>hoa</t>
  </si>
  <si>
    <t>Internet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</si>
</sst>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3">
      <c r="A3" s="1" t="s">
        <v>3</v>
      </c>
      <c r="B3" s="1">
        <v>108.22</v>
      </c>
    </row>
    <row r="4">
      <c r="A4" s="1" t="s">
        <v>4</v>
      </c>
      <c r="B4" s="1">
        <v>79.99</v>
      </c>
    </row>
    <row r="5">
      <c r="A5" s="1" t="s">
        <v>5</v>
      </c>
      <c r="B5" s="1">
        <v>79.4</v>
      </c>
    </row>
    <row r="6">
      <c r="A6" s="1" t="s">
        <v>6</v>
      </c>
      <c r="B6" s="1">
        <v>59.99</v>
      </c>
    </row>
    <row r="7">
      <c r="A7" s="1" t="s">
        <v>7</v>
      </c>
    </row>
    <row r="8">
      <c r="A8" s="1" t="s">
        <v>8</v>
      </c>
      <c r="C8" s="1">
        <v>2500.0</v>
      </c>
    </row>
    <row r="9">
      <c r="A9" s="1" t="s">
        <v>9</v>
      </c>
      <c r="B9" s="1">
        <v>300.0</v>
      </c>
    </row>
    <row r="10">
      <c r="A10" s="1" t="s">
        <v>10</v>
      </c>
      <c r="B10" s="1">
        <v>80.0</v>
      </c>
    </row>
    <row r="11">
      <c r="A11" s="1" t="s">
        <v>11</v>
      </c>
    </row>
    <row r="12">
      <c r="A12" s="1" t="s">
        <v>12</v>
      </c>
      <c r="B12" s="1">
        <v>464.0</v>
      </c>
    </row>
    <row r="14">
      <c r="B14" s="1" t="s">
        <v>13</v>
      </c>
      <c r="C14" s="1" t="s">
        <v>13</v>
      </c>
      <c r="D14" s="1" t="s">
        <v>14</v>
      </c>
    </row>
    <row r="15">
      <c r="B15">
        <f>sum(B2:B13)</f>
        <v>1171.6</v>
      </c>
      <c r="C15">
        <f>sum(C3:C13)</f>
        <v>2500</v>
      </c>
      <c r="D15">
        <f>C15-B15</f>
        <v>1328.4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15</v>
      </c>
      <c r="B1" s="1" t="s">
        <v>1</v>
      </c>
      <c r="C1" s="1" t="s">
        <v>2</v>
      </c>
    </row>
    <row r="3">
      <c r="A3" s="1" t="s">
        <v>3</v>
      </c>
      <c r="B3" s="1">
        <v>86.21</v>
      </c>
    </row>
    <row r="4">
      <c r="A4" s="1" t="s">
        <v>4</v>
      </c>
      <c r="B4" s="1">
        <v>181.5</v>
      </c>
    </row>
    <row r="5">
      <c r="A5" s="1" t="s">
        <v>5</v>
      </c>
      <c r="B5" s="1">
        <v>129.02</v>
      </c>
    </row>
    <row r="6">
      <c r="A6" s="1" t="s">
        <v>16</v>
      </c>
      <c r="B6" s="1">
        <v>166.48</v>
      </c>
    </row>
    <row r="7">
      <c r="A7" s="1" t="s">
        <v>17</v>
      </c>
      <c r="B7" s="1">
        <v>296.4</v>
      </c>
    </row>
    <row r="8">
      <c r="A8" s="1" t="s">
        <v>18</v>
      </c>
      <c r="C8" s="1">
        <v>1655.0</v>
      </c>
    </row>
    <row r="9">
      <c r="A9" s="1" t="s">
        <v>9</v>
      </c>
      <c r="B9" s="1">
        <v>19.0</v>
      </c>
    </row>
    <row r="10">
      <c r="A10" s="1" t="s">
        <v>10</v>
      </c>
      <c r="B10" s="1">
        <v>377.23</v>
      </c>
    </row>
    <row r="11">
      <c r="A11" s="1" t="s">
        <v>11</v>
      </c>
      <c r="B11" s="1">
        <v>32.0</v>
      </c>
    </row>
    <row r="12">
      <c r="A12" s="1" t="s">
        <v>19</v>
      </c>
      <c r="B12" s="1">
        <v>139.0</v>
      </c>
    </row>
    <row r="13">
      <c r="A13" s="1" t="s">
        <v>20</v>
      </c>
      <c r="B13" s="1">
        <v>200.0</v>
      </c>
    </row>
    <row r="14">
      <c r="B14" s="1" t="s">
        <v>13</v>
      </c>
      <c r="C14" s="1" t="s">
        <v>13</v>
      </c>
      <c r="D14" s="1" t="s">
        <v>14</v>
      </c>
    </row>
    <row r="15">
      <c r="B15">
        <f>sum(B2:B13)</f>
        <v>1626.84</v>
      </c>
      <c r="C15">
        <f>sum(C3:C13)</f>
        <v>1655</v>
      </c>
      <c r="D15">
        <f>C15-B15</f>
        <v>28.16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15</v>
      </c>
      <c r="B1" s="1" t="s">
        <v>1</v>
      </c>
      <c r="C1" s="1" t="s">
        <v>2</v>
      </c>
    </row>
    <row r="2">
      <c r="A2" s="1" t="s">
        <v>21</v>
      </c>
      <c r="B2" s="1">
        <v>819.0</v>
      </c>
    </row>
    <row r="3">
      <c r="A3" s="1" t="s">
        <v>3</v>
      </c>
      <c r="B3" s="1">
        <v>56.33</v>
      </c>
    </row>
    <row r="4">
      <c r="A4" s="1" t="s">
        <v>4</v>
      </c>
      <c r="B4" s="1">
        <v>34.44</v>
      </c>
    </row>
    <row r="5">
      <c r="A5" s="1"/>
    </row>
    <row r="6">
      <c r="A6" s="1" t="s">
        <v>16</v>
      </c>
      <c r="B6" s="1">
        <v>59.99</v>
      </c>
      <c r="C6" s="1"/>
    </row>
    <row r="7">
      <c r="A7" s="1" t="s">
        <v>7</v>
      </c>
    </row>
    <row r="8">
      <c r="A8" s="1" t="s">
        <v>22</v>
      </c>
      <c r="B8" s="1"/>
      <c r="C8" s="1">
        <v>1280.0</v>
      </c>
    </row>
    <row r="9">
      <c r="A9" s="1" t="s">
        <v>9</v>
      </c>
      <c r="B9" s="1"/>
    </row>
    <row r="10">
      <c r="A10" s="1" t="s">
        <v>10</v>
      </c>
    </row>
    <row r="11">
      <c r="A11" s="1" t="s">
        <v>11</v>
      </c>
      <c r="B11" s="1"/>
    </row>
    <row r="12">
      <c r="A12" s="1" t="s">
        <v>19</v>
      </c>
      <c r="B12" s="1"/>
    </row>
    <row r="13">
      <c r="A13" s="1" t="s">
        <v>23</v>
      </c>
      <c r="B13" s="1">
        <v>125.0</v>
      </c>
    </row>
    <row r="14">
      <c r="B14" s="1" t="s">
        <v>13</v>
      </c>
      <c r="C14" s="1" t="s">
        <v>13</v>
      </c>
      <c r="D14" s="1" t="s">
        <v>14</v>
      </c>
    </row>
    <row r="15">
      <c r="B15">
        <f>sum(B2:B13)</f>
        <v>1094.76</v>
      </c>
      <c r="C15">
        <f>sum(C3:C13)</f>
        <v>1280</v>
      </c>
      <c r="D15">
        <f>C15-B15</f>
        <v>185.24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15</v>
      </c>
      <c r="B1" s="1" t="s">
        <v>1</v>
      </c>
      <c r="C1" s="1" t="s">
        <v>2</v>
      </c>
    </row>
    <row r="3">
      <c r="A3" s="1" t="s">
        <v>3</v>
      </c>
      <c r="B3">
        <f>sum('5525 Taylor Road'!B3+'260 East Taylors Crossing'!B3)</f>
        <v>194.43</v>
      </c>
      <c r="C3">
        <f>sum('5525 Taylor Road'!C3+'260 East Taylors Crossing'!C3)</f>
        <v>0</v>
      </c>
    </row>
    <row r="4">
      <c r="A4" s="1" t="s">
        <v>4</v>
      </c>
      <c r="B4">
        <f>sum('5525 Taylor Road'!B4+'260 East Taylors Crossing'!B4)</f>
        <v>261.49</v>
      </c>
      <c r="C4">
        <f>sum('5525 Taylor Road'!C4+'260 East Taylors Crossing'!C4)</f>
        <v>0</v>
      </c>
    </row>
    <row r="5">
      <c r="A5" s="1" t="s">
        <v>5</v>
      </c>
      <c r="B5">
        <f>sum('5525 Taylor Road'!B5+'260 East Taylors Crossing'!B5)</f>
        <v>208.42</v>
      </c>
      <c r="C5">
        <f>sum('5525 Taylor Road'!C5+'260 East Taylors Crossing'!C5)</f>
        <v>0</v>
      </c>
    </row>
    <row r="6">
      <c r="A6" s="1" t="s">
        <v>24</v>
      </c>
      <c r="B6">
        <f>sum('5525 Taylor Road'!B6+'260 East Taylors Crossing'!B6)</f>
        <v>226.47</v>
      </c>
      <c r="C6">
        <f>sum('5525 Taylor Road'!C6+'260 East Taylors Crossing'!C6)</f>
        <v>0</v>
      </c>
    </row>
    <row r="7">
      <c r="A7" s="1" t="s">
        <v>7</v>
      </c>
      <c r="B7">
        <f>sum('5525 Taylor Road'!B7+'260 East Taylors Crossing'!B7)</f>
        <v>296.4</v>
      </c>
      <c r="C7">
        <f>sum('5525 Taylor Road'!C7+'260 East Taylors Crossing'!C7)</f>
        <v>0</v>
      </c>
    </row>
    <row r="9">
      <c r="A9" s="1" t="s">
        <v>9</v>
      </c>
      <c r="B9">
        <f>sum('5525 Taylor Road'!B9+'260 East Taylors Crossing'!B9)</f>
        <v>319</v>
      </c>
      <c r="C9">
        <f>sum('5525 Taylor Road'!C9+'260 East Taylors Crossing'!C9)</f>
        <v>0</v>
      </c>
    </row>
    <row r="10">
      <c r="A10" s="1" t="s">
        <v>10</v>
      </c>
      <c r="B10">
        <f>sum('5525 Taylor Road'!B10+'260 East Taylors Crossing'!B10)</f>
        <v>457.23</v>
      </c>
      <c r="C10">
        <f>sum('5525 Taylor Road'!C10+'260 East Taylors Crossing'!C10)</f>
        <v>0</v>
      </c>
    </row>
    <row r="11">
      <c r="A11" s="1" t="s">
        <v>11</v>
      </c>
      <c r="B11">
        <f>sum('5525 Taylor Road'!B11+'260 East Taylors Crossing'!B11)</f>
        <v>32</v>
      </c>
      <c r="C11">
        <f>sum('5525 Taylor Road'!C11+'260 East Taylors Crossing'!C11)</f>
        <v>0</v>
      </c>
    </row>
    <row r="14">
      <c r="B14" s="1" t="s">
        <v>13</v>
      </c>
      <c r="C14" s="1" t="s">
        <v>13</v>
      </c>
      <c r="D14" s="1" t="s">
        <v>14</v>
      </c>
    </row>
    <row r="15">
      <c r="B15" s="2">
        <f>sum('4645 valais ct'!B15+'5525 Taylor Road'!B15+'260 East Taylors Crossing'!B15)</f>
        <v>3893.2</v>
      </c>
      <c r="C15" s="2">
        <f>sum('4645 valais ct'!C15+'5525 Taylor Road'!C15+'260 East Taylors Crossing'!C15)</f>
        <v>5435</v>
      </c>
      <c r="D15" s="2">
        <f>C15-B15</f>
        <v>1541.8</v>
      </c>
    </row>
  </sheetData>
  <drawing r:id="rId1"/>
</worksheet>
</file>