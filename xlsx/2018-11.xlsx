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<sst xmlns="http://schemas.openxmlformats.org/spreadsheetml/2006/main" count="93" uniqueCount="25">
  <si>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</si>
  <si>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</si>
  <si>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</si>
  <si>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</si>
  <si>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</si>
  <si>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</si>
  <si>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</si>
  <si>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</si>
  <si>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</si>
  <si>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</si>
  <si>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</si>
  <si>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</si>
  <si>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</si>
  <si>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</si>
  <si>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</si>
  <si>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</si>
  <si>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</si>
  <si>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trash republic 2 mths</t>
  </si>
  <si>
    <t>water  sept to nov</t>
  </si>
  <si>
    <t>hoa</t>
  </si>
  <si>
    <t>mortgage</t>
  </si>
  <si>
    <t>Electricity/trash</t>
  </si>
  <si>
    <t>cobb water</t>
  </si>
  <si>
    <t>pool pump/close pool</t>
  </si>
  <si>
    <t>electricity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</si>
</sst>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85.91</v>
      </c>
    </row>
    <row r="3" ht="15.75" customHeight="1">
      <c r="A3" t="s">
        <v>4</v>
      </c>
      <c r="B3" s="1">
        <v>41.13</v>
      </c>
    </row>
    <row r="4" ht="15.75" customHeight="1">
      <c r="A4" t="s">
        <v>5</v>
      </c>
      <c r="B4" s="1">
        <v>129.28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4050.0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  <c r="B13" s="1">
        <v>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356.32</v>
      </c>
      <c r="C15">
        <f t="shared" si="1"/>
        <v>4050</v>
      </c>
      <c r="D15">
        <f t="shared" ref="D15:D16" si="2">C15-B15</f>
        <v>3693.68</v>
      </c>
    </row>
    <row r="16" ht="15.75" customHeight="1">
      <c r="D16">
        <f t="shared" si="2"/>
        <v>0</v>
      </c>
    </row>
    <row r="17" ht="15.75" customHeight="1"/>
    <row r="18" ht="15.75" customHeight="1"/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17</v>
      </c>
      <c r="B2" s="2">
        <v>185.0</v>
      </c>
    </row>
    <row r="3" ht="15.75" customHeight="1">
      <c r="A3" t="s">
        <v>4</v>
      </c>
      <c r="B3" s="1">
        <v>24.33</v>
      </c>
    </row>
    <row r="4" ht="15.75" customHeight="1">
      <c r="A4" t="s">
        <v>5</v>
      </c>
      <c r="B4" s="1">
        <v>76.72</v>
      </c>
    </row>
    <row r="5" ht="15.75" customHeight="1">
      <c r="A5" s="1" t="s">
        <v>18</v>
      </c>
      <c r="B5" s="1">
        <v>55.12</v>
      </c>
    </row>
    <row r="6" ht="15.75" customHeight="1">
      <c r="A6" t="s">
        <v>7</v>
      </c>
      <c r="B6" s="1">
        <v>164.68</v>
      </c>
    </row>
    <row r="7" ht="15.75" customHeight="1">
      <c r="A7" t="s">
        <v>8</v>
      </c>
    </row>
    <row r="8" ht="15.75" customHeight="1">
      <c r="A8" t="s">
        <v>9</v>
      </c>
      <c r="C8" s="1">
        <v>900.0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 s="1">
        <v>505.85</v>
      </c>
      <c r="C16">
        <f>sum(C3:C14)</f>
        <v>900</v>
      </c>
      <c r="D16">
        <f>C16-B16</f>
        <v>394.15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20</v>
      </c>
      <c r="B2" s="1">
        <v>919.59</v>
      </c>
    </row>
    <row r="3" ht="15.75" customHeight="1">
      <c r="A3" t="s">
        <v>4</v>
      </c>
      <c r="B3" s="1">
        <v>56.87</v>
      </c>
    </row>
    <row r="4" ht="15.75" customHeight="1">
      <c r="A4" t="s">
        <v>5</v>
      </c>
      <c r="B4" s="1">
        <v>72.93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2300.0</v>
      </c>
    </row>
    <row r="9" ht="15.75" customHeight="1">
      <c r="A9" t="s">
        <v>10</v>
      </c>
      <c r="B9" s="1">
        <v>90.0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  <c r="B13" s="1">
        <v>125.0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1314.39</v>
      </c>
      <c r="C15">
        <f t="shared" si="1"/>
        <v>2300</v>
      </c>
      <c r="D15">
        <f>C15-B15</f>
        <v>985.61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20</v>
      </c>
    </row>
    <row r="3" ht="15.75" customHeight="1">
      <c r="A3" t="s">
        <v>4</v>
      </c>
      <c r="B3" s="1">
        <v>100.32</v>
      </c>
    </row>
    <row r="4" ht="15.75" customHeight="1">
      <c r="A4" s="1" t="s">
        <v>21</v>
      </c>
      <c r="B4" s="1">
        <v>103.48</v>
      </c>
    </row>
    <row r="5" ht="15.75" customHeight="1">
      <c r="A5" s="1" t="s">
        <v>22</v>
      </c>
      <c r="B5" s="1">
        <v>44.09</v>
      </c>
    </row>
    <row r="6" ht="15.75" customHeight="1">
      <c r="A6" t="s">
        <v>7</v>
      </c>
      <c r="B6" s="1">
        <v>49.95</v>
      </c>
    </row>
    <row r="7" ht="15.75" customHeight="1">
      <c r="A7" t="s">
        <v>8</v>
      </c>
    </row>
    <row r="8" ht="15.75" customHeight="1">
      <c r="A8" t="s">
        <v>9</v>
      </c>
      <c r="C8" s="1">
        <v>1554.76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23</v>
      </c>
      <c r="B13" s="1">
        <v>515.0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812.84</v>
      </c>
      <c r="C15">
        <f t="shared" si="1"/>
        <v>1554.76</v>
      </c>
      <c r="D15">
        <f>C15-B15</f>
        <v>741.92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20</v>
      </c>
    </row>
    <row r="3" ht="15.75" customHeight="1">
      <c r="A3" t="s">
        <v>4</v>
      </c>
    </row>
    <row r="4" ht="15.75" customHeight="1">
      <c r="A4" s="1" t="s">
        <v>24</v>
      </c>
      <c r="B4" s="1">
        <v>128.24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1900.0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528.24</v>
      </c>
      <c r="C15">
        <f t="shared" si="1"/>
        <v>1900</v>
      </c>
      <c r="D15">
        <f>C15-B15</f>
        <v>1371.76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3517.64</v>
      </c>
      <c r="C4">
        <f>sum('260 East Taylors Crossing'!C15+'5525 Taylor Road'!C16+'4645 valais ct'!C15+'1120 Lauren way'!C15+'115 Peachtree Memorial Drive'!C15)</f>
        <v>10704.76</v>
      </c>
      <c r="D4">
        <f>sum('260 East Taylors Crossing'!D15+'5525 Taylor Road'!D16+'4645 valais ct'!D15+'1120 Lauren way'!D15+'115 Peachtree Memorial Drive'!D15)</f>
        <v>7187.12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