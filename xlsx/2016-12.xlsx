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 East Taylors Crossing" sheetId="1" r:id="rId4"/>
    <sheet state="visible" name="5525 Taylor Road" sheetId="2" r:id="rId5"/>
    <sheet state="visible" name="4645 valais ct" sheetId="3" r:id="rId6"/>
    <sheet state="visible" name="Totals" sheetId="4" r:id="rId7"/>
  </sheets>
  <definedNames/>
  <calcPr/>
</workbook>
</file>

<file path=xl/sharedStrings.xml><?xml version="1.0" encoding="utf-8"?>
<sst xmlns="http://schemas.openxmlformats.org/spreadsheetml/2006/main" count="63" uniqueCount="22">
  <si>
    <t>Line Item</t>
  </si>
  <si>
    <t>Debits</t>
  </si>
  <si>
    <t>Credits</t>
  </si>
  <si>
    <t>Gas</t>
  </si>
  <si>
    <t>Electricity</t>
  </si>
  <si>
    <t>Water</t>
  </si>
  <si>
    <t>internet</t>
  </si>
  <si>
    <t>Lawn Care</t>
  </si>
  <si>
    <t>rental income</t>
  </si>
  <si>
    <t>Repairs and Design</t>
  </si>
  <si>
    <t>Home Goods</t>
  </si>
  <si>
    <t>Cleaning and Supplies</t>
  </si>
  <si>
    <t>Total</t>
  </si>
  <si>
    <t>Net</t>
  </si>
  <si>
    <t>internet/cable</t>
  </si>
  <si>
    <t>rent</t>
  </si>
  <si>
    <t xml:space="preserve">pest control </t>
  </si>
  <si>
    <t>deck repair</t>
  </si>
  <si>
    <t>mortgage</t>
  </si>
  <si>
    <t xml:space="preserve">rental income </t>
  </si>
  <si>
    <t>hoa</t>
  </si>
  <si>
    <t>Internet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</si>
</sst>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3">
      <c r="A3" s="1" t="s">
        <v>3</v>
      </c>
      <c r="B3" s="1">
        <v>107.61</v>
      </c>
    </row>
    <row r="4">
      <c r="A4" s="1" t="s">
        <v>4</v>
      </c>
      <c r="B4" s="1">
        <v>42.96</v>
      </c>
    </row>
    <row r="5">
      <c r="A5" s="1" t="s">
        <v>5</v>
      </c>
    </row>
    <row r="6">
      <c r="A6" s="1" t="s">
        <v>6</v>
      </c>
      <c r="B6" s="1">
        <v>59.99</v>
      </c>
    </row>
    <row r="7">
      <c r="A7" s="1" t="s">
        <v>7</v>
      </c>
    </row>
    <row r="8">
      <c r="A8" s="1" t="s">
        <v>8</v>
      </c>
      <c r="C8" s="1">
        <v>2500.0</v>
      </c>
    </row>
    <row r="9">
      <c r="A9" s="1" t="s">
        <v>9</v>
      </c>
      <c r="B9" s="1">
        <v>160.0</v>
      </c>
    </row>
    <row r="10">
      <c r="A10" s="1" t="s">
        <v>10</v>
      </c>
      <c r="B10" s="1">
        <v>396.0</v>
      </c>
    </row>
    <row r="11">
      <c r="A11" s="1" t="s">
        <v>11</v>
      </c>
    </row>
    <row r="14">
      <c r="B14" s="1" t="s">
        <v>12</v>
      </c>
      <c r="C14" s="1" t="s">
        <v>12</v>
      </c>
      <c r="D14" s="1" t="s">
        <v>13</v>
      </c>
    </row>
    <row r="15">
      <c r="B15">
        <f>sum(B2:B13)</f>
        <v>766.56</v>
      </c>
      <c r="C15">
        <f>sum(C3:C13)</f>
        <v>2500</v>
      </c>
      <c r="D15">
        <f>C15-B15</f>
        <v>1733.44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2">
      <c r="A2" s="1"/>
    </row>
    <row r="3">
      <c r="A3" s="1" t="s">
        <v>3</v>
      </c>
      <c r="B3" s="1">
        <v>59.87</v>
      </c>
    </row>
    <row r="4">
      <c r="A4" s="1" t="s">
        <v>4</v>
      </c>
      <c r="B4" s="1">
        <v>113.09</v>
      </c>
    </row>
    <row r="5">
      <c r="A5" s="1" t="s">
        <v>5</v>
      </c>
    </row>
    <row r="6">
      <c r="A6" s="1" t="s">
        <v>14</v>
      </c>
      <c r="B6" s="1">
        <v>166.48</v>
      </c>
    </row>
    <row r="7">
      <c r="A7" s="1" t="s">
        <v>7</v>
      </c>
      <c r="B7" s="1">
        <v>39.0</v>
      </c>
    </row>
    <row r="8">
      <c r="A8" s="1" t="s">
        <v>15</v>
      </c>
      <c r="C8" s="1">
        <v>900.0</v>
      </c>
    </row>
    <row r="9">
      <c r="A9" s="1" t="s">
        <v>9</v>
      </c>
      <c r="B9" s="1">
        <v>464.0</v>
      </c>
    </row>
    <row r="10">
      <c r="A10" s="1" t="s">
        <v>10</v>
      </c>
      <c r="B10" s="1">
        <v>95.0</v>
      </c>
    </row>
    <row r="11">
      <c r="A11" s="1" t="s">
        <v>11</v>
      </c>
      <c r="B11" s="1">
        <v>32.0</v>
      </c>
    </row>
    <row r="12">
      <c r="A12" s="1" t="s">
        <v>16</v>
      </c>
      <c r="B12" s="1">
        <v>139.0</v>
      </c>
    </row>
    <row r="13">
      <c r="A13" s="1" t="s">
        <v>17</v>
      </c>
      <c r="B13" s="1">
        <v>200.0</v>
      </c>
    </row>
    <row r="14">
      <c r="B14" s="1" t="s">
        <v>12</v>
      </c>
      <c r="C14" s="1" t="s">
        <v>12</v>
      </c>
      <c r="D14" s="1" t="s">
        <v>13</v>
      </c>
    </row>
    <row r="15">
      <c r="B15">
        <f>sum(B2:B13)</f>
        <v>1308.44</v>
      </c>
      <c r="C15">
        <f>sum(C3:C13)</f>
        <v>900</v>
      </c>
      <c r="D15">
        <f>C15-B15</f>
        <v>-408.44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18</v>
      </c>
      <c r="B2" s="1">
        <v>819.0</v>
      </c>
    </row>
    <row r="3">
      <c r="A3" s="1" t="s">
        <v>3</v>
      </c>
      <c r="B3" s="1">
        <v>137.66</v>
      </c>
    </row>
    <row r="4">
      <c r="A4" s="1" t="s">
        <v>4</v>
      </c>
      <c r="B4" s="1">
        <v>34.44</v>
      </c>
    </row>
    <row r="5">
      <c r="A5" s="1"/>
    </row>
    <row r="6">
      <c r="A6" s="1" t="s">
        <v>14</v>
      </c>
      <c r="B6" s="1">
        <v>59.99</v>
      </c>
      <c r="C6" s="1"/>
    </row>
    <row r="7">
      <c r="A7" s="1" t="s">
        <v>7</v>
      </c>
    </row>
    <row r="8">
      <c r="A8" s="1" t="s">
        <v>19</v>
      </c>
      <c r="C8" s="1">
        <v>760.0</v>
      </c>
    </row>
    <row r="9">
      <c r="A9" s="1" t="s">
        <v>9</v>
      </c>
      <c r="B9" s="1"/>
    </row>
    <row r="10">
      <c r="A10" s="1" t="s">
        <v>10</v>
      </c>
      <c r="B10" s="1">
        <v>430.0</v>
      </c>
    </row>
    <row r="11">
      <c r="A11" s="1" t="s">
        <v>11</v>
      </c>
      <c r="B11" s="1"/>
    </row>
    <row r="12">
      <c r="A12" s="1" t="s">
        <v>16</v>
      </c>
      <c r="B12" s="1"/>
    </row>
    <row r="13">
      <c r="A13" s="1" t="s">
        <v>20</v>
      </c>
      <c r="B13" s="1">
        <v>125.0</v>
      </c>
    </row>
    <row r="14">
      <c r="B14" s="1" t="s">
        <v>12</v>
      </c>
      <c r="C14" s="1" t="s">
        <v>12</v>
      </c>
      <c r="D14" s="1" t="s">
        <v>13</v>
      </c>
    </row>
    <row r="15">
      <c r="B15">
        <f>sum(B2:B13)</f>
        <v>1606.09</v>
      </c>
      <c r="C15">
        <f>sum(C3:C13)</f>
        <v>760</v>
      </c>
      <c r="D15">
        <f>C15-B15</f>
        <v>-846.09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3">
      <c r="A3" s="1" t="s">
        <v>3</v>
      </c>
      <c r="B3">
        <f>sum('5525 Taylor Road'!B3+'260 East Taylors Crossing'!B3)</f>
        <v>167.48</v>
      </c>
      <c r="C3">
        <f>sum('5525 Taylor Road'!C3+'260 East Taylors Crossing'!C3)</f>
        <v>0</v>
      </c>
    </row>
    <row r="4">
      <c r="A4" s="1" t="s">
        <v>4</v>
      </c>
      <c r="B4">
        <f>sum('5525 Taylor Road'!B4+'260 East Taylors Crossing'!B4)</f>
        <v>156.05</v>
      </c>
      <c r="C4">
        <f>sum('5525 Taylor Road'!C4+'260 East Taylors Crossing'!C4)</f>
        <v>0</v>
      </c>
    </row>
    <row r="5">
      <c r="A5" s="1" t="s">
        <v>5</v>
      </c>
      <c r="B5">
        <f>sum('5525 Taylor Road'!B5+'260 East Taylors Crossing'!B5)</f>
        <v>0</v>
      </c>
      <c r="C5">
        <f>sum('5525 Taylor Road'!C5+'260 East Taylors Crossing'!C5)</f>
        <v>0</v>
      </c>
    </row>
    <row r="6">
      <c r="A6" s="1" t="s">
        <v>21</v>
      </c>
      <c r="B6">
        <f>sum('5525 Taylor Road'!B6+'260 East Taylors Crossing'!B6)</f>
        <v>226.47</v>
      </c>
      <c r="C6">
        <f>sum('5525 Taylor Road'!C6+'260 East Taylors Crossing'!C6)</f>
        <v>0</v>
      </c>
    </row>
    <row r="7">
      <c r="A7" s="1" t="s">
        <v>7</v>
      </c>
      <c r="B7">
        <f>sum('5525 Taylor Road'!B7+'260 East Taylors Crossing'!B7)</f>
        <v>39</v>
      </c>
      <c r="C7">
        <f>sum('5525 Taylor Road'!C7+'260 East Taylors Crossing'!C7)</f>
        <v>0</v>
      </c>
    </row>
    <row r="9">
      <c r="A9" s="1" t="s">
        <v>9</v>
      </c>
      <c r="B9">
        <f>sum('5525 Taylor Road'!B9+'260 East Taylors Crossing'!B9)</f>
        <v>624</v>
      </c>
      <c r="C9">
        <f>sum('5525 Taylor Road'!C9+'260 East Taylors Crossing'!C9)</f>
        <v>0</v>
      </c>
    </row>
    <row r="10">
      <c r="A10" s="1" t="s">
        <v>10</v>
      </c>
      <c r="B10">
        <f>sum('5525 Taylor Road'!B10+'260 East Taylors Crossing'!B10)</f>
        <v>491</v>
      </c>
      <c r="C10">
        <f>sum('5525 Taylor Road'!C10+'260 East Taylors Crossing'!C10)</f>
        <v>0</v>
      </c>
    </row>
    <row r="11">
      <c r="A11" s="1" t="s">
        <v>11</v>
      </c>
      <c r="B11">
        <f>sum('5525 Taylor Road'!B11+'260 East Taylors Crossing'!B11)</f>
        <v>32</v>
      </c>
      <c r="C11">
        <f>sum('5525 Taylor Road'!C11+'260 East Taylors Crossing'!C11)</f>
        <v>0</v>
      </c>
    </row>
    <row r="14">
      <c r="B14" s="1" t="s">
        <v>12</v>
      </c>
      <c r="C14" s="1" t="s">
        <v>12</v>
      </c>
      <c r="D14" s="1" t="s">
        <v>13</v>
      </c>
    </row>
    <row r="15">
      <c r="B15" s="2">
        <f>sum('4645 valais ct'!B15+'5525 Taylor Road'!B15+'260 East Taylors Crossing'!B15)</f>
        <v>3681.09</v>
      </c>
      <c r="C15" s="2">
        <f>sum('4645 valais ct'!C15+'5525 Taylor Road'!C15+'260 East Taylors Crossing'!C15)</f>
        <v>4160</v>
      </c>
      <c r="D15" s="2">
        <f>C15-B15</f>
        <v>478.91</v>
      </c>
    </row>
  </sheetData>
  <drawing r:id="rId1"/>
</worksheet>
</file>