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<sst xmlns="http://schemas.openxmlformats.org/spreadsheetml/2006/main" count="99" uniqueCount="30">
  <si>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</si>
  <si>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</si>
  <si>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</si>
  <si>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</si>
  <si>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</si>
  <si>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</si>
  <si>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</si>
  <si>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</si>
  <si>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</si>
  <si>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</si>
  <si>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</si>
  <si>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</si>
  <si>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</si>
  <si>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</si>
  <si>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property tax</t>
  </si>
  <si>
    <t>Total</t>
  </si>
  <si>
    <t>Net</t>
  </si>
  <si>
    <t>property tax 2019</t>
  </si>
  <si>
    <t>Waste Mgmt</t>
  </si>
  <si>
    <t xml:space="preserve">water jan to march </t>
  </si>
  <si>
    <t>Property tax  2019</t>
  </si>
  <si>
    <t>mortgage</t>
  </si>
  <si>
    <t>hoa</t>
  </si>
  <si>
    <t>Property tax</t>
  </si>
  <si>
    <t>Electricity/trash</t>
  </si>
  <si>
    <t>cobb water</t>
  </si>
  <si>
    <t>home insurance</t>
  </si>
  <si>
    <t>assessment</t>
  </si>
  <si>
    <t>washer/dryer repair</t>
  </si>
  <si>
    <t>propertybtax 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</si>
</sst>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</row>
    <row r="3" ht="15.75" customHeight="1">
      <c r="A3" t="s">
        <v>4</v>
      </c>
      <c r="B3" s="1">
        <v>39.11</v>
      </c>
    </row>
    <row r="4" ht="15.75" customHeight="1">
      <c r="A4" t="s">
        <v>5</v>
      </c>
      <c r="B4" s="1">
        <v>137.41</v>
      </c>
    </row>
    <row r="5" ht="15.75" customHeight="1">
      <c r="A5" t="s">
        <v>6</v>
      </c>
    </row>
    <row r="6" ht="15.75" customHeight="1">
      <c r="A6" t="s">
        <v>7</v>
      </c>
      <c r="B6" s="1">
        <v>102.1</v>
      </c>
    </row>
    <row r="7" ht="15.75" customHeight="1">
      <c r="A7" t="s">
        <v>8</v>
      </c>
    </row>
    <row r="8" ht="15.75" customHeight="1">
      <c r="A8" t="s">
        <v>9</v>
      </c>
      <c r="C8" s="1">
        <v>3766.0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  <c r="B13" s="1">
        <v>4177.23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4455.85</v>
      </c>
      <c r="C15">
        <f t="shared" si="1"/>
        <v>3766</v>
      </c>
      <c r="D15">
        <f t="shared" ref="D15:D16" si="2">C15-B15</f>
        <v>-689.85</v>
      </c>
    </row>
    <row r="16" ht="15.75" customHeight="1">
      <c r="D16">
        <f t="shared" si="2"/>
        <v>0</v>
      </c>
    </row>
    <row r="17" ht="15.75" customHeight="1">
      <c r="A17" s="1" t="s">
        <v>17</v>
      </c>
    </row>
    <row r="18" ht="15.75" customHeight="1">
      <c r="A18" s="2">
        <v>4177.23</v>
      </c>
    </row>
    <row r="19" ht="15.75" customHeight="1"/>
    <row r="20" ht="15.75" customHeight="1"/>
    <row r="21" ht="15.75" customHeight="1">
      <c r="A21" s="3"/>
    </row>
    <row r="22" ht="15.75" customHeight="1"/>
    <row r="23" ht="15.75" customHeight="1">
      <c r="A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18</v>
      </c>
      <c r="B2" s="2">
        <v>0.0</v>
      </c>
    </row>
    <row r="3" ht="15.75" customHeight="1">
      <c r="A3" t="s">
        <v>4</v>
      </c>
      <c r="B3" s="1">
        <v>39.2</v>
      </c>
    </row>
    <row r="4" ht="15.75" customHeight="1">
      <c r="A4" t="s">
        <v>5</v>
      </c>
      <c r="B4" s="1">
        <v>185.93</v>
      </c>
    </row>
    <row r="5" ht="15.75" customHeight="1">
      <c r="A5" s="1" t="s">
        <v>19</v>
      </c>
    </row>
    <row r="6" ht="15.75" customHeight="1">
      <c r="A6" t="s">
        <v>7</v>
      </c>
      <c r="B6" s="1">
        <v>102.1</v>
      </c>
    </row>
    <row r="7" ht="15.75" customHeight="1">
      <c r="A7" t="s">
        <v>8</v>
      </c>
    </row>
    <row r="8" ht="15.75" customHeight="1">
      <c r="A8" t="s">
        <v>9</v>
      </c>
      <c r="C8" s="1">
        <v>3200.0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  <c r="B13" s="1">
        <v>2882.15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 s="1">
        <v>3209.38</v>
      </c>
      <c r="C16">
        <f>sum(C3:C14)</f>
        <v>3200</v>
      </c>
      <c r="D16">
        <f>C16-B16</f>
        <v>-9.38</v>
      </c>
    </row>
    <row r="17" ht="15.75" customHeight="1">
      <c r="A17" s="1" t="s">
        <v>20</v>
      </c>
    </row>
    <row r="18" ht="15.75" customHeight="1">
      <c r="A18" s="2">
        <v>2882.15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21</v>
      </c>
      <c r="B2" s="1">
        <v>950.0</v>
      </c>
    </row>
    <row r="3" ht="15.75" customHeight="1">
      <c r="A3" t="s">
        <v>4</v>
      </c>
      <c r="B3" s="1">
        <v>35.21</v>
      </c>
    </row>
    <row r="4" ht="15.75" customHeight="1">
      <c r="A4" t="s">
        <v>5</v>
      </c>
      <c r="B4" s="1">
        <v>93.96</v>
      </c>
    </row>
    <row r="5" ht="15.75" customHeight="1"/>
    <row r="6" ht="15.75" customHeight="1">
      <c r="A6" t="s">
        <v>7</v>
      </c>
      <c r="B6" s="1">
        <v>96.45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22</v>
      </c>
      <c r="B13" s="1">
        <v>136.0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1311.62</v>
      </c>
      <c r="C15">
        <f t="shared" si="1"/>
        <v>2350</v>
      </c>
      <c r="D15">
        <f>C15-B15</f>
        <v>1038.38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23</v>
      </c>
      <c r="B2" s="1">
        <v>3242.62</v>
      </c>
    </row>
    <row r="3" ht="15.75" customHeight="1">
      <c r="A3" t="s">
        <v>4</v>
      </c>
      <c r="B3" s="1">
        <v>38.13</v>
      </c>
    </row>
    <row r="4" ht="15.75" customHeight="1">
      <c r="A4" s="1" t="s">
        <v>24</v>
      </c>
      <c r="B4" s="1">
        <v>279.95</v>
      </c>
    </row>
    <row r="5" ht="15.75" customHeight="1">
      <c r="A5" s="1" t="s">
        <v>25</v>
      </c>
      <c r="B5" s="1">
        <v>24.72</v>
      </c>
    </row>
    <row r="6" ht="15.75" customHeight="1">
      <c r="A6" t="s">
        <v>7</v>
      </c>
    </row>
    <row r="7" ht="15.75" customHeight="1">
      <c r="A7" t="s">
        <v>8</v>
      </c>
      <c r="B7" s="1">
        <v>90.0</v>
      </c>
    </row>
    <row r="8" ht="15.75" customHeight="1">
      <c r="A8" t="s">
        <v>9</v>
      </c>
      <c r="C8" s="1">
        <v>1670.0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  <c r="B12" s="1">
        <v>85.0</v>
      </c>
    </row>
    <row r="13" ht="15.75" customHeight="1">
      <c r="A13" s="1" t="s">
        <v>26</v>
      </c>
      <c r="B13" s="1">
        <v>105.0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1">
        <v>4034.02</v>
      </c>
      <c r="C15">
        <f>sum(C2:C13)</f>
        <v>1670</v>
      </c>
      <c r="D15">
        <f>C15-B15</f>
        <v>-2364.02</v>
      </c>
    </row>
    <row r="16" ht="15.75" customHeight="1"/>
    <row r="17" ht="15.75" customHeight="1">
      <c r="A17" s="1" t="s">
        <v>17</v>
      </c>
    </row>
    <row r="18" ht="15.75" customHeight="1">
      <c r="A18" s="2">
        <v>3242.62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s="1" t="s">
        <v>27</v>
      </c>
      <c r="B2" s="1">
        <v>500.0</v>
      </c>
    </row>
    <row r="3" ht="15.75" customHeight="1">
      <c r="A3" t="s">
        <v>4</v>
      </c>
    </row>
    <row r="4" ht="15.75" customHeight="1">
      <c r="A4" t="s">
        <v>5</v>
      </c>
      <c r="B4" s="1">
        <v>96.26</v>
      </c>
    </row>
    <row r="5" ht="15.75" customHeight="1">
      <c r="A5" s="1" t="s">
        <v>23</v>
      </c>
      <c r="B5" s="1">
        <v>4317.0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1800.0</v>
      </c>
    </row>
    <row r="9" ht="15.75" customHeight="1">
      <c r="A9" t="s">
        <v>10</v>
      </c>
      <c r="B9" s="1">
        <v>290.0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22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5603.26</v>
      </c>
      <c r="C15">
        <f t="shared" si="1"/>
        <v>1800</v>
      </c>
      <c r="D15">
        <f>C15-B15</f>
        <v>-3803.26</v>
      </c>
    </row>
    <row r="16" ht="15.75" customHeight="1"/>
    <row r="17" ht="15.75" customHeight="1">
      <c r="A17" s="1" t="s">
        <v>28</v>
      </c>
    </row>
    <row r="18" ht="15.75" customHeight="1">
      <c r="A18" s="3">
        <v>290.0</v>
      </c>
    </row>
    <row r="19" ht="15.75" customHeight="1"/>
    <row r="20" ht="15.75" customHeight="1"/>
    <row r="21" ht="15.75" customHeight="1">
      <c r="A21" s="1" t="s">
        <v>29</v>
      </c>
    </row>
    <row r="22" ht="15.75" customHeight="1">
      <c r="A22" s="3">
        <v>4317.0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18614.13</v>
      </c>
      <c r="C4">
        <f>sum('260 East Taylors Crossing'!C15+'5525 Taylor Road'!C16+'4645 valais ct'!C15+'1120 Lauren way'!C15+'115 Peachtree Memorial Drive'!C15)</f>
        <v>12786</v>
      </c>
      <c r="D4">
        <f>sum('260 East Taylors Crossing'!D15+'5525 Taylor Road'!D16+'4645 valais ct'!D15+'1120 Lauren way'!D15+'115 Peachtree Memorial Drive'!D15)</f>
        <v>-5828.13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