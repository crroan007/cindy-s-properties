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<sst xmlns="http://schemas.openxmlformats.org/spreadsheetml/2006/main" count="94" uniqueCount="25">
  <si>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</si>
  <si>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</si>
  <si>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</si>
  <si>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</si>
  <si>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</si>
  <si>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</si>
  <si>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</si>
  <si>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</si>
  <si>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</si>
  <si>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</si>
  <si>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</si>
  <si>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</si>
  <si>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</si>
  <si>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</si>
  <si>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</si>
  <si>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</si>
  <si>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</si>
  <si>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waste mgmt dec</t>
  </si>
  <si>
    <t xml:space="preserve">water jan to march </t>
  </si>
  <si>
    <t>hoa</t>
  </si>
  <si>
    <t>mortgage</t>
  </si>
  <si>
    <t>Electricity/trash</t>
  </si>
  <si>
    <t>cobb water</t>
  </si>
  <si>
    <t>plumber</t>
  </si>
  <si>
    <t>repair faucet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</si>
</sst>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</row>
    <row r="3" ht="15.75" customHeight="1">
      <c r="A3" t="s">
        <v>4</v>
      </c>
      <c r="B3" s="1">
        <v>102.37</v>
      </c>
    </row>
    <row r="4" ht="15.75" customHeight="1">
      <c r="A4" t="s">
        <v>5</v>
      </c>
      <c r="B4" s="1">
        <v>123.07</v>
      </c>
    </row>
    <row r="5" ht="15.75" customHeight="1">
      <c r="A5" t="s">
        <v>6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3250.0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327.54</v>
      </c>
      <c r="C15">
        <f t="shared" si="1"/>
        <v>3250</v>
      </c>
      <c r="D15">
        <f>C15-B15</f>
        <v>2922.46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>
        <v>0.0</v>
      </c>
      <c r="B1" t="s">
        <v>1</v>
      </c>
      <c r="C1" t="s">
        <v>2</v>
      </c>
    </row>
    <row r="2" ht="15.75" customHeight="1">
      <c r="A2" s="1" t="s">
        <v>17</v>
      </c>
      <c r="B2" s="3">
        <v>53.72</v>
      </c>
    </row>
    <row r="3" ht="15.75" customHeight="1">
      <c r="A3" t="s">
        <v>4</v>
      </c>
      <c r="B3" s="1">
        <v>97.39</v>
      </c>
    </row>
    <row r="4" ht="15.75" customHeight="1">
      <c r="A4" t="s">
        <v>5</v>
      </c>
      <c r="B4" s="1">
        <v>166.4</v>
      </c>
    </row>
    <row r="5" ht="15.75" customHeight="1">
      <c r="A5" s="1" t="s">
        <v>18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3200.0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419.61</v>
      </c>
      <c r="C16">
        <f>sum(C3:C14)</f>
        <v>3200</v>
      </c>
      <c r="D16">
        <f>C16-B16</f>
        <v>2780.39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  <c r="B2" s="1">
        <v>950.0</v>
      </c>
    </row>
    <row r="3" ht="15.75" customHeight="1">
      <c r="A3" t="s">
        <v>4</v>
      </c>
      <c r="B3" s="1">
        <v>64.36</v>
      </c>
    </row>
    <row r="4" ht="15.75" customHeight="1">
      <c r="A4" t="s">
        <v>5</v>
      </c>
      <c r="B4" s="1">
        <v>64.05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136.0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1264.41</v>
      </c>
      <c r="C15">
        <f t="shared" si="1"/>
        <v>2350</v>
      </c>
      <c r="D15">
        <f>C15-B15</f>
        <v>1085.59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  <c r="B3" s="1">
        <v>101.23</v>
      </c>
    </row>
    <row r="4" ht="15.75" customHeight="1">
      <c r="A4" s="1" t="s">
        <v>21</v>
      </c>
      <c r="B4" s="1">
        <v>141.81</v>
      </c>
    </row>
    <row r="5" ht="15.75" customHeight="1">
      <c r="A5" s="1" t="s">
        <v>22</v>
      </c>
      <c r="B5" s="1">
        <v>138.68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2239.6</v>
      </c>
    </row>
    <row r="9" ht="15.75" customHeight="1">
      <c r="A9" t="s">
        <v>10</v>
      </c>
      <c r="B9" s="1">
        <v>130.0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561.72</v>
      </c>
      <c r="C15">
        <f t="shared" si="1"/>
        <v>2239.6</v>
      </c>
      <c r="D15">
        <f>C15-B15</f>
        <v>1677.88</v>
      </c>
    </row>
    <row r="16" ht="15.75" customHeight="1"/>
    <row r="17" ht="15.75" customHeight="1">
      <c r="A17" s="1" t="s">
        <v>23</v>
      </c>
    </row>
    <row r="18" ht="15.75" customHeight="1">
      <c r="A18" s="1" t="s">
        <v>24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</row>
    <row r="4" ht="15.75" customHeight="1">
      <c r="A4" t="s">
        <v>5</v>
      </c>
      <c r="B4" s="1">
        <v>180.0</v>
      </c>
    </row>
    <row r="5" ht="15.75" customHeight="1"/>
    <row r="6" ht="15.75" customHeight="1">
      <c r="A6" t="s">
        <v>7</v>
      </c>
      <c r="B6" s="1">
        <v>55.0</v>
      </c>
    </row>
    <row r="7" ht="15.75" customHeight="1">
      <c r="A7" t="s">
        <v>8</v>
      </c>
    </row>
    <row r="8" ht="15.75" customHeight="1">
      <c r="A8" t="s">
        <v>9</v>
      </c>
      <c r="C8" s="1">
        <v>1800.0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585</v>
      </c>
      <c r="C15">
        <f t="shared" si="1"/>
        <v>1800</v>
      </c>
      <c r="D15">
        <f>C15-B15</f>
        <v>1215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3158.28</v>
      </c>
      <c r="C4">
        <f>sum('260 East Taylors Crossing'!C15+'5525 Taylor Road'!C16+'4645 valais ct'!C15+'1120 Lauren way'!C15+'115 Peachtree Memorial Drive'!C15)</f>
        <v>12839.6</v>
      </c>
      <c r="D4">
        <f>sum('260 East Taylors Crossing'!D15+'5525 Taylor Road'!D16+'4645 valais ct'!D15+'1120 Lauren way'!D15+'115 Peachtree Memorial Drive'!D15)</f>
        <v>9681.32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