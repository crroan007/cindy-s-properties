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" sheetId="1" r:id="rId4"/>
    <sheet state="visible" name="5525 Taylor" sheetId="2" r:id="rId5"/>
    <sheet state="visible" name="4645 Valais" sheetId="3" r:id="rId6"/>
    <sheet state="visible" name="1120 Lauren" sheetId="4" r:id="rId7"/>
    <sheet state="visible" name="115 Memorial" sheetId="5" r:id="rId8"/>
    <sheet state="visible" name="Total" sheetId="6" r:id="rId9"/>
  </sheets>
  <definedNames>
    <definedName hidden="1" localSheetId="5" name="_xlnm._FilterDatabase">Total!$A$19:$B$23</definedName>
  </definedNames>
  <calcPr/>
</workbook>
</file>

<file path=xl/sharedStrings.xml><?xml version="1.0" encoding="utf-8"?>
<sst xmlns="http://schemas.openxmlformats.org/spreadsheetml/2006/main" count="102" uniqueCount="22">
  <si>
    <t>Debits</t>
  </si>
  <si>
    <t>Credits</t>
  </si>
  <si>
    <t>Net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</si>
  <si>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</si>
  <si>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</si>
  <si>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</si>
  <si>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</si>
  <si>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</si>
  <si>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</si>
  <si>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</si>
  <si>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</si>
  <si>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</si>
  <si>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</si>
  <si>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</si>
  <si>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</si>
  <si>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Total</t>
  </si>
  <si>
    <t>End of Year Each Property</t>
  </si>
  <si>
    <t>115 Memorial</t>
  </si>
  <si>
    <t>4645 Valais</t>
  </si>
  <si>
    <t>1120 Lauren</t>
  </si>
  <si>
    <t>5525 Taylor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</si>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</sst>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&quot;$&quot;#,##0.00"/>
    <numFmt numFmtId="166" formatCode="&quot;$&quot;#,##0"/>
  </numFmts>
  <fonts count="4">
    <font>
      <sz val="10.0"/>
      <color rgb="FF000000"/>
      <name val="Arial"/>
    </font>
    <font/>
    <font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Total!$B$18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Total!$A$19:$A$23</c:f>
            </c:strRef>
          </c:cat>
          <c:val>
            <c:numRef>
              <c:f>Total!$B$19:$B$23</c:f>
              <c:numCache/>
            </c:numRef>
          </c:val>
        </c:ser>
        <c:axId val="2009597220"/>
        <c:axId val="499552737"/>
      </c:barChart>
      <c:catAx>
        <c:axId val="20095972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End of Year Each Property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9552737"/>
      </c:catAx>
      <c:valAx>
        <c:axId val="4995527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95972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15</xdr:row>
      <xdr:rowOff>190500</xdr:rowOff>
    </xdr:from>
    <xdr:ext cx="5248275" cy="1676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</row>
    <row r="2">
      <c r="A2" s="1" t="s">
        <v>3</v>
      </c>
      <c r="B2" s="2">
        <v>841.34</v>
      </c>
      <c r="C2" s="2">
        <v>1751.0</v>
      </c>
      <c r="D2" s="2">
        <v>909.66</v>
      </c>
    </row>
    <row r="3">
      <c r="A3" s="1" t="s">
        <v>4</v>
      </c>
      <c r="B3" s="1">
        <v>204.86</v>
      </c>
      <c r="C3" s="1">
        <v>1750.0</v>
      </c>
      <c r="D3" s="1">
        <v>1545.14</v>
      </c>
    </row>
    <row r="4">
      <c r="A4" s="1" t="s">
        <v>5</v>
      </c>
      <c r="B4" s="1">
        <v>3678.75</v>
      </c>
      <c r="C4" s="1">
        <v>3482.0</v>
      </c>
      <c r="D4" s="1">
        <v>-196.75</v>
      </c>
    </row>
    <row r="5">
      <c r="A5" s="1" t="s">
        <v>6</v>
      </c>
      <c r="B5" s="1">
        <v>3678.75</v>
      </c>
      <c r="C5" s="1">
        <v>3482.0</v>
      </c>
      <c r="D5" s="1">
        <v>-196.75</v>
      </c>
    </row>
    <row r="6">
      <c r="A6" s="1" t="s">
        <v>7</v>
      </c>
      <c r="B6" s="1">
        <v>3530.38</v>
      </c>
      <c r="C6" s="1">
        <v>3482.0</v>
      </c>
      <c r="D6" s="1">
        <v>-48.38</v>
      </c>
    </row>
    <row r="7">
      <c r="A7" s="1" t="s">
        <v>8</v>
      </c>
      <c r="B7" s="1">
        <v>1290.47</v>
      </c>
      <c r="C7" s="1">
        <v>3300.0</v>
      </c>
      <c r="D7" s="1">
        <v>2009.53</v>
      </c>
    </row>
    <row r="8">
      <c r="A8" s="1" t="s">
        <v>9</v>
      </c>
      <c r="B8" s="1">
        <v>2252.53</v>
      </c>
      <c r="C8" s="1">
        <v>3950.0</v>
      </c>
      <c r="D8" s="1">
        <v>1697.47</v>
      </c>
    </row>
    <row r="9">
      <c r="A9" s="1" t="s">
        <v>10</v>
      </c>
      <c r="B9" s="1">
        <v>411.23</v>
      </c>
      <c r="C9" s="1">
        <v>3300.0</v>
      </c>
      <c r="D9" s="1">
        <v>2888.77</v>
      </c>
    </row>
    <row r="10">
      <c r="A10" s="1" t="s">
        <v>11</v>
      </c>
      <c r="B10" s="1">
        <v>481.85</v>
      </c>
      <c r="C10" s="1">
        <v>4050.0</v>
      </c>
      <c r="D10" s="1">
        <v>3568.15</v>
      </c>
    </row>
    <row r="11">
      <c r="A11" s="1" t="s">
        <v>12</v>
      </c>
      <c r="B11" s="1">
        <v>370.07</v>
      </c>
      <c r="C11" s="1">
        <v>4050.0</v>
      </c>
      <c r="D11" s="1">
        <v>3679.93</v>
      </c>
    </row>
    <row r="12">
      <c r="A12" s="1" t="s">
        <v>13</v>
      </c>
      <c r="B12" s="1">
        <v>288.67</v>
      </c>
      <c r="C12" s="1">
        <v>3775.0</v>
      </c>
      <c r="D12" s="1">
        <v>3486.33</v>
      </c>
    </row>
    <row r="13">
      <c r="A13" s="1" t="s">
        <v>14</v>
      </c>
      <c r="B13" s="1">
        <v>288.67</v>
      </c>
      <c r="C13" s="1">
        <v>3775.0</v>
      </c>
      <c r="D13" s="1">
        <v>3486.33</v>
      </c>
    </row>
    <row r="15">
      <c r="A15" s="3" t="s">
        <v>15</v>
      </c>
      <c r="B15" s="4">
        <f t="shared" ref="B15:D15" si="1">sum(B2:B13)</f>
        <v>17317.57</v>
      </c>
      <c r="C15" s="4">
        <f t="shared" si="1"/>
        <v>40147</v>
      </c>
      <c r="D15" s="4">
        <f t="shared" si="1"/>
        <v>22829.43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</row>
    <row r="2">
      <c r="A2" s="1" t="s">
        <v>3</v>
      </c>
      <c r="B2" s="2">
        <v>744.95</v>
      </c>
      <c r="C2" s="2">
        <v>900.0</v>
      </c>
      <c r="D2" s="2">
        <v>155.05</v>
      </c>
    </row>
    <row r="3">
      <c r="A3" s="1" t="s">
        <v>4</v>
      </c>
      <c r="B3" s="1">
        <v>503.81</v>
      </c>
      <c r="C3" s="1">
        <v>900.0</v>
      </c>
      <c r="D3" s="1">
        <v>396.19</v>
      </c>
    </row>
    <row r="4">
      <c r="A4" s="1" t="s">
        <v>5</v>
      </c>
      <c r="B4" s="1">
        <v>355.99</v>
      </c>
      <c r="C4" s="1">
        <v>900.0</v>
      </c>
      <c r="D4" s="1">
        <v>544.01</v>
      </c>
    </row>
    <row r="5">
      <c r="A5" s="1" t="s">
        <v>6</v>
      </c>
      <c r="B5" s="1">
        <v>355.99</v>
      </c>
      <c r="C5" s="1">
        <v>900.0</v>
      </c>
      <c r="D5" s="1">
        <v>544.01</v>
      </c>
    </row>
    <row r="6">
      <c r="A6" s="1" t="s">
        <v>7</v>
      </c>
      <c r="B6" s="2">
        <v>355.99</v>
      </c>
      <c r="C6" s="2">
        <v>1650.0</v>
      </c>
      <c r="D6" s="2">
        <v>1294.01</v>
      </c>
    </row>
    <row r="7">
      <c r="A7" s="1" t="s">
        <v>8</v>
      </c>
      <c r="B7" s="1">
        <v>624.58</v>
      </c>
      <c r="C7" s="1">
        <v>1650.0</v>
      </c>
      <c r="D7" s="1">
        <v>1025.42</v>
      </c>
    </row>
    <row r="8">
      <c r="A8" s="1" t="s">
        <v>9</v>
      </c>
      <c r="B8" s="1">
        <v>642.68</v>
      </c>
      <c r="C8" s="1">
        <v>1360.0</v>
      </c>
      <c r="D8" s="1">
        <v>717.32</v>
      </c>
    </row>
    <row r="9">
      <c r="A9" s="1" t="s">
        <v>10</v>
      </c>
      <c r="B9" s="1">
        <v>991.58</v>
      </c>
      <c r="C9" s="1">
        <v>2550.0</v>
      </c>
      <c r="D9" s="1">
        <v>1558.42</v>
      </c>
    </row>
    <row r="10">
      <c r="A10" s="1" t="s">
        <v>11</v>
      </c>
      <c r="B10" s="2">
        <v>336.03</v>
      </c>
      <c r="C10" s="2">
        <v>1450.0</v>
      </c>
      <c r="D10" s="2">
        <v>1113.97</v>
      </c>
    </row>
    <row r="11">
      <c r="A11" s="1" t="s">
        <v>12</v>
      </c>
      <c r="B11" s="2">
        <v>536.35</v>
      </c>
      <c r="C11" s="2">
        <v>1700.0</v>
      </c>
      <c r="D11" s="2">
        <v>1163.65</v>
      </c>
    </row>
    <row r="12">
      <c r="A12" s="1" t="s">
        <v>13</v>
      </c>
      <c r="B12" s="1">
        <v>320.85</v>
      </c>
      <c r="C12" s="1">
        <v>900.0</v>
      </c>
      <c r="D12" s="1">
        <v>579.15</v>
      </c>
    </row>
    <row r="13">
      <c r="A13" s="1" t="s">
        <v>14</v>
      </c>
      <c r="B13" s="5">
        <v>753.85</v>
      </c>
      <c r="C13" s="1">
        <v>1750.0</v>
      </c>
      <c r="D13" s="5">
        <v>996.15</v>
      </c>
    </row>
    <row r="15">
      <c r="A15" s="3" t="s">
        <v>15</v>
      </c>
      <c r="B15" s="4">
        <f t="shared" ref="B15:D15" si="1">sum(B2:B13)</f>
        <v>6522.65</v>
      </c>
      <c r="C15" s="4">
        <f t="shared" si="1"/>
        <v>16610</v>
      </c>
      <c r="D15" s="4">
        <f t="shared" si="1"/>
        <v>10087.35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</row>
    <row r="2">
      <c r="A2" s="1" t="s">
        <v>3</v>
      </c>
      <c r="B2" s="2">
        <v>1145.19</v>
      </c>
      <c r="C2" s="2">
        <v>1650.0</v>
      </c>
      <c r="D2" s="2">
        <v>504.81</v>
      </c>
    </row>
    <row r="3">
      <c r="A3" s="1" t="s">
        <v>4</v>
      </c>
      <c r="B3" s="1">
        <v>1177.31</v>
      </c>
      <c r="C3" s="1">
        <v>2300.0</v>
      </c>
      <c r="D3" s="1">
        <v>1122.69</v>
      </c>
    </row>
    <row r="4">
      <c r="A4" s="1" t="s">
        <v>5</v>
      </c>
      <c r="B4" s="1">
        <v>1177.31</v>
      </c>
      <c r="C4" s="1">
        <v>2300.0</v>
      </c>
      <c r="D4" s="1">
        <v>1122.69</v>
      </c>
    </row>
    <row r="5">
      <c r="A5" s="1" t="s">
        <v>6</v>
      </c>
      <c r="B5" s="1">
        <v>1177.31</v>
      </c>
      <c r="C5" s="1">
        <v>2300.0</v>
      </c>
      <c r="D5" s="1">
        <v>1122.69</v>
      </c>
    </row>
    <row r="6">
      <c r="A6" s="1" t="s">
        <v>7</v>
      </c>
      <c r="B6" s="1">
        <v>1177.31</v>
      </c>
      <c r="C6" s="1">
        <v>2300.0</v>
      </c>
      <c r="D6" s="1">
        <v>1122.69</v>
      </c>
    </row>
    <row r="7">
      <c r="A7" s="1" t="s">
        <v>8</v>
      </c>
      <c r="B7" s="1">
        <v>1212.55</v>
      </c>
      <c r="C7" s="1">
        <v>2350.0</v>
      </c>
      <c r="D7" s="1">
        <v>1137.45</v>
      </c>
    </row>
    <row r="8">
      <c r="A8" s="1" t="s">
        <v>9</v>
      </c>
      <c r="B8" s="1">
        <v>1331.12</v>
      </c>
      <c r="C8" s="1">
        <v>2300.0</v>
      </c>
      <c r="D8" s="1">
        <v>968.88</v>
      </c>
    </row>
    <row r="9">
      <c r="A9" s="1" t="s">
        <v>10</v>
      </c>
      <c r="B9" s="1">
        <v>1403.32</v>
      </c>
      <c r="C9" s="1">
        <v>2350.0</v>
      </c>
      <c r="D9" s="1">
        <v>946.68</v>
      </c>
    </row>
    <row r="10">
      <c r="A10" s="1" t="s">
        <v>11</v>
      </c>
      <c r="B10" s="1">
        <v>1341.79</v>
      </c>
      <c r="C10" s="1">
        <v>2350.0</v>
      </c>
      <c r="D10" s="1">
        <v>1008.21</v>
      </c>
    </row>
    <row r="11">
      <c r="A11" s="1" t="s">
        <v>12</v>
      </c>
      <c r="B11" s="1">
        <v>1082.39</v>
      </c>
      <c r="C11" s="1">
        <v>2350.0</v>
      </c>
      <c r="D11" s="1">
        <v>1267.61</v>
      </c>
    </row>
    <row r="12">
      <c r="A12" s="1" t="s">
        <v>13</v>
      </c>
      <c r="B12" s="1">
        <v>1314.39</v>
      </c>
      <c r="C12" s="1">
        <v>2300.0</v>
      </c>
      <c r="D12" s="1">
        <v>985.61</v>
      </c>
    </row>
    <row r="13">
      <c r="A13" s="1" t="s">
        <v>14</v>
      </c>
      <c r="B13" s="1">
        <v>1166.93</v>
      </c>
      <c r="C13" s="1">
        <v>2402.78</v>
      </c>
      <c r="D13" s="1">
        <v>1235.85</v>
      </c>
    </row>
    <row r="15">
      <c r="A15" s="3" t="s">
        <v>15</v>
      </c>
      <c r="B15" s="4">
        <f t="shared" ref="B15:D15" si="1">sum(B2:B13)</f>
        <v>14706.92</v>
      </c>
      <c r="C15" s="4">
        <f t="shared" si="1"/>
        <v>27252.78</v>
      </c>
      <c r="D15" s="4">
        <f t="shared" si="1"/>
        <v>12545.86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</row>
    <row r="2">
      <c r="A2" s="1" t="s">
        <v>3</v>
      </c>
      <c r="B2" s="2">
        <v>1706.05</v>
      </c>
      <c r="C2" s="2">
        <v>1237.0</v>
      </c>
      <c r="D2" s="2">
        <v>-469.05</v>
      </c>
    </row>
    <row r="3">
      <c r="A3" s="1" t="s">
        <v>4</v>
      </c>
      <c r="B3" s="6">
        <v>1203.83</v>
      </c>
      <c r="C3" s="6">
        <v>1554.76</v>
      </c>
      <c r="D3" s="6">
        <v>350.93</v>
      </c>
    </row>
    <row r="4">
      <c r="A4" s="1" t="s">
        <v>5</v>
      </c>
      <c r="B4" s="6">
        <v>1203.83</v>
      </c>
      <c r="C4" s="6">
        <v>1554.76</v>
      </c>
      <c r="D4" s="6">
        <v>350.93</v>
      </c>
    </row>
    <row r="5">
      <c r="A5" s="1" t="s">
        <v>6</v>
      </c>
      <c r="B5" s="1">
        <v>1203.83</v>
      </c>
      <c r="C5" s="1">
        <v>1554.76</v>
      </c>
      <c r="D5" s="1">
        <v>350.93</v>
      </c>
    </row>
    <row r="6">
      <c r="A6" s="1" t="s">
        <v>7</v>
      </c>
      <c r="B6" s="7">
        <v>1203.83</v>
      </c>
      <c r="C6" s="7">
        <v>1554.76</v>
      </c>
      <c r="D6" s="7">
        <v>350.93</v>
      </c>
    </row>
    <row r="7">
      <c r="A7" s="1" t="s">
        <v>8</v>
      </c>
      <c r="B7" s="1">
        <v>1854.58</v>
      </c>
      <c r="C7" s="1">
        <v>3533.63</v>
      </c>
      <c r="D7" s="1">
        <v>1679.05</v>
      </c>
    </row>
    <row r="8">
      <c r="A8" s="1" t="s">
        <v>9</v>
      </c>
      <c r="B8" s="8">
        <v>2845.0</v>
      </c>
      <c r="C8" s="1">
        <v>7046.99</v>
      </c>
      <c r="D8" s="8">
        <v>4202.0</v>
      </c>
    </row>
    <row r="9">
      <c r="A9" s="1" t="s">
        <v>10</v>
      </c>
      <c r="B9" s="1">
        <v>1257.43</v>
      </c>
      <c r="C9" s="1">
        <v>1373.0</v>
      </c>
      <c r="D9" s="1">
        <v>115.57</v>
      </c>
    </row>
    <row r="10">
      <c r="A10" s="1" t="s">
        <v>11</v>
      </c>
      <c r="B10" s="1">
        <v>1532.48</v>
      </c>
      <c r="C10" s="1">
        <v>1077.6</v>
      </c>
      <c r="D10" s="1">
        <v>-454.88</v>
      </c>
    </row>
    <row r="11">
      <c r="A11" s="1" t="s">
        <v>12</v>
      </c>
      <c r="B11" s="1">
        <v>1335.24</v>
      </c>
      <c r="C11" s="1">
        <v>2350.0</v>
      </c>
      <c r="D11" s="1">
        <v>1014.76</v>
      </c>
    </row>
    <row r="12">
      <c r="A12" s="1" t="s">
        <v>13</v>
      </c>
      <c r="B12" s="1">
        <v>812.84</v>
      </c>
      <c r="C12" s="1">
        <v>1554.76</v>
      </c>
      <c r="D12" s="1">
        <v>741.92</v>
      </c>
    </row>
    <row r="13">
      <c r="A13" s="1" t="s">
        <v>14</v>
      </c>
      <c r="B13" s="1">
        <v>302.08</v>
      </c>
      <c r="C13" s="1">
        <v>2550.0</v>
      </c>
      <c r="D13" s="1">
        <v>2247.92</v>
      </c>
    </row>
    <row r="15">
      <c r="A15" s="3" t="s">
        <v>15</v>
      </c>
      <c r="B15" s="4">
        <f t="shared" ref="B15:D15" si="1">sum(B2:B13)</f>
        <v>16461.02</v>
      </c>
      <c r="C15" s="4">
        <f t="shared" si="1"/>
        <v>26942.02</v>
      </c>
      <c r="D15" s="4">
        <f t="shared" si="1"/>
        <v>10481.01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</row>
    <row r="2">
      <c r="A2" s="1" t="s">
        <v>3</v>
      </c>
      <c r="B2" s="2">
        <v>571.32</v>
      </c>
      <c r="C2" s="2">
        <v>1499.73</v>
      </c>
      <c r="D2" s="2">
        <v>928.41</v>
      </c>
    </row>
    <row r="3">
      <c r="A3" s="1" t="s">
        <v>4</v>
      </c>
      <c r="B3" s="2">
        <v>571.32</v>
      </c>
      <c r="C3" s="2">
        <v>1499.73</v>
      </c>
      <c r="D3" s="2">
        <v>928.41</v>
      </c>
    </row>
    <row r="4">
      <c r="A4" s="1" t="s">
        <v>5</v>
      </c>
      <c r="B4" s="1">
        <v>436.25</v>
      </c>
      <c r="C4" s="1">
        <v>2200.0</v>
      </c>
      <c r="D4" s="1">
        <v>1763.75</v>
      </c>
    </row>
    <row r="5">
      <c r="A5" s="1" t="s">
        <v>6</v>
      </c>
      <c r="B5" s="1">
        <v>436.25</v>
      </c>
      <c r="C5" s="1">
        <v>2200.0</v>
      </c>
      <c r="D5" s="1">
        <v>1763.75</v>
      </c>
    </row>
    <row r="6">
      <c r="A6" s="1" t="s">
        <v>7</v>
      </c>
      <c r="B6" s="1">
        <v>1010.25</v>
      </c>
      <c r="C6" s="1">
        <v>2200.0</v>
      </c>
      <c r="D6" s="1">
        <f>C6-B6</f>
        <v>1189.75</v>
      </c>
    </row>
    <row r="7">
      <c r="A7" s="1" t="s">
        <v>8</v>
      </c>
      <c r="B7" s="1">
        <v>443.66</v>
      </c>
      <c r="C7" s="1">
        <v>900.0</v>
      </c>
      <c r="D7" s="1">
        <v>456.34</v>
      </c>
    </row>
    <row r="8">
      <c r="A8" s="1" t="s">
        <v>9</v>
      </c>
      <c r="B8" s="8">
        <v>581.0</v>
      </c>
      <c r="C8" s="1">
        <v>900.0</v>
      </c>
      <c r="D8" s="8">
        <v>319.0</v>
      </c>
    </row>
    <row r="9">
      <c r="A9" s="1" t="s">
        <v>10</v>
      </c>
      <c r="B9" s="1">
        <v>440.92</v>
      </c>
      <c r="C9" s="1">
        <v>1850.0</v>
      </c>
      <c r="D9" s="1">
        <v>1409.08</v>
      </c>
    </row>
    <row r="10">
      <c r="A10" s="1" t="s">
        <v>11</v>
      </c>
      <c r="B10" s="1">
        <v>390.0</v>
      </c>
      <c r="C10" s="1">
        <v>1466.66</v>
      </c>
      <c r="D10" s="1">
        <v>1076.66</v>
      </c>
    </row>
    <row r="11">
      <c r="A11" s="1" t="s">
        <v>12</v>
      </c>
      <c r="B11" s="1">
        <v>429.18</v>
      </c>
      <c r="C11" s="1">
        <v>1900.0</v>
      </c>
      <c r="D11" s="1">
        <v>1470.82</v>
      </c>
    </row>
    <row r="12">
      <c r="A12" s="1" t="s">
        <v>13</v>
      </c>
      <c r="B12" s="1">
        <v>356.32</v>
      </c>
      <c r="C12" s="1">
        <v>4050.0</v>
      </c>
      <c r="D12" s="1">
        <v>3693.68</v>
      </c>
    </row>
    <row r="13">
      <c r="A13" s="1" t="s">
        <v>14</v>
      </c>
      <c r="B13" s="1">
        <v>491.09</v>
      </c>
      <c r="C13" s="1">
        <v>1900.0</v>
      </c>
      <c r="D13" s="1">
        <v>1408.91</v>
      </c>
    </row>
    <row r="15">
      <c r="A15" s="3" t="s">
        <v>15</v>
      </c>
      <c r="B15" s="4">
        <f t="shared" ref="B15:D15" si="1">sum(B2:B13)</f>
        <v>6157.56</v>
      </c>
      <c r="C15" s="4">
        <f t="shared" si="1"/>
        <v>22566.12</v>
      </c>
      <c r="D15" s="4">
        <f t="shared" si="1"/>
        <v>16408.56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</row>
    <row r="2">
      <c r="A2" s="1" t="s">
        <v>3</v>
      </c>
      <c r="B2" s="2">
        <f>sum('260'!B2+'5525 Taylor'!B2+'4645 Valais'!B2+'1120 Lauren'!B2+'115 Memorial'!B2)</f>
        <v>5008.85</v>
      </c>
      <c r="C2" s="2">
        <f>sum('260'!C2+'5525 Taylor'!C2+'4645 Valais'!C2+'1120 Lauren'!C2+'115 Memorial'!C2)</f>
        <v>7037.73</v>
      </c>
      <c r="D2" s="2">
        <f>sum('260'!D2+'5525 Taylor'!D2+'4645 Valais'!D2+'1120 Lauren'!D2+'115 Memorial'!D2)</f>
        <v>2028.88</v>
      </c>
    </row>
    <row r="3">
      <c r="A3" s="1" t="s">
        <v>4</v>
      </c>
      <c r="B3" s="2">
        <f>sum('260'!B3+'5525 Taylor'!B3+'4645 Valais'!B3+'1120 Lauren'!B3+'115 Memorial'!B3)</f>
        <v>3661.13</v>
      </c>
      <c r="C3" s="2">
        <f>sum('260'!C3+'5525 Taylor'!C3+'4645 Valais'!C3+'1120 Lauren'!C3+'115 Memorial'!C3)</f>
        <v>8004.49</v>
      </c>
      <c r="D3" s="2">
        <f>sum('260'!D3+'5525 Taylor'!D3+'4645 Valais'!D3+'1120 Lauren'!D3+'115 Memorial'!D3)</f>
        <v>4343.36</v>
      </c>
    </row>
    <row r="4">
      <c r="A4" s="1" t="s">
        <v>5</v>
      </c>
      <c r="B4" s="2">
        <f>sum('260'!B4+'5525 Taylor'!B4+'4645 Valais'!B4+'1120 Lauren'!B4+'115 Memorial'!B4)</f>
        <v>6852.13</v>
      </c>
      <c r="C4" s="2">
        <f>sum('260'!C4+'5525 Taylor'!C4+'4645 Valais'!C4+'1120 Lauren'!C4+'115 Memorial'!C4)</f>
        <v>10436.76</v>
      </c>
      <c r="D4" s="2">
        <f>sum('260'!D4+'5525 Taylor'!D4+'4645 Valais'!D4+'1120 Lauren'!D4+'115 Memorial'!D4)</f>
        <v>3584.63</v>
      </c>
    </row>
    <row r="5">
      <c r="A5" s="1" t="s">
        <v>6</v>
      </c>
      <c r="B5" s="2">
        <f>sum('260'!B5+'5525 Taylor'!B5+'4645 Valais'!B5+'1120 Lauren'!B5+'115 Memorial'!B5)</f>
        <v>6852.13</v>
      </c>
      <c r="C5" s="2">
        <f>sum('260'!C5+'5525 Taylor'!C5+'4645 Valais'!C5+'1120 Lauren'!C5+'115 Memorial'!C5)</f>
        <v>10436.76</v>
      </c>
      <c r="D5" s="2">
        <f>sum('260'!D5+'5525 Taylor'!D5+'4645 Valais'!D5+'1120 Lauren'!D5+'115 Memorial'!D5)</f>
        <v>3584.63</v>
      </c>
    </row>
    <row r="6">
      <c r="A6" s="1" t="s">
        <v>7</v>
      </c>
      <c r="B6" s="2">
        <f>sum('260'!B6+'5525 Taylor'!B6+'4645 Valais'!B6+'1120 Lauren'!B6+'115 Memorial'!B6)</f>
        <v>7277.76</v>
      </c>
      <c r="C6" s="2">
        <f>sum('260'!C6+'5525 Taylor'!C6+'4645 Valais'!C6+'1120 Lauren'!C6+'115 Memorial'!C6)</f>
        <v>11186.76</v>
      </c>
      <c r="D6" s="2">
        <f>sum('260'!D6+'5525 Taylor'!D6+'4645 Valais'!D6+'1120 Lauren'!D6+'115 Memorial'!D6)</f>
        <v>3909</v>
      </c>
    </row>
    <row r="7">
      <c r="A7" s="1" t="s">
        <v>8</v>
      </c>
      <c r="B7" s="2">
        <f>sum('260'!B7+'5525 Taylor'!B7+'4645 Valais'!B7+'1120 Lauren'!B7+'115 Memorial'!B7)</f>
        <v>5425.84</v>
      </c>
      <c r="C7" s="2">
        <f>sum('260'!C7+'5525 Taylor'!C7+'4645 Valais'!C7+'1120 Lauren'!C7+'115 Memorial'!C7)</f>
        <v>11733.63</v>
      </c>
      <c r="D7" s="2">
        <f>sum('260'!D7+'5525 Taylor'!D7+'4645 Valais'!D7+'1120 Lauren'!D7+'115 Memorial'!D7)</f>
        <v>6307.79</v>
      </c>
    </row>
    <row r="8">
      <c r="A8" s="1" t="s">
        <v>9</v>
      </c>
      <c r="B8" s="9">
        <f>sum('260'!B8+'5525 Taylor'!B8+'4645 Valais'!B8+'1120 Lauren'!B8+'115 Memorial'!B8)</f>
        <v>7652.33</v>
      </c>
      <c r="C8" s="2">
        <f>sum('260'!C8+'5525 Taylor'!C8+'4645 Valais'!C8+'1120 Lauren'!C8+'115 Memorial'!C8)</f>
        <v>15556.99</v>
      </c>
      <c r="D8" s="9">
        <f>sum('260'!D8+'5525 Taylor'!D8+'4645 Valais'!D8+'1120 Lauren'!D8+'115 Memorial'!D8)</f>
        <v>7904.67</v>
      </c>
    </row>
    <row r="9">
      <c r="A9" s="1" t="s">
        <v>10</v>
      </c>
      <c r="B9" s="2">
        <f>sum('260'!B9+'5525 Taylor'!B9+'4645 Valais'!B9+'1120 Lauren'!B9+'115 Memorial'!B9)</f>
        <v>4504.48</v>
      </c>
      <c r="C9" s="2">
        <f>sum('260'!C9+'5525 Taylor'!C9+'4645 Valais'!C9+'1120 Lauren'!C9+'115 Memorial'!C9)</f>
        <v>11423</v>
      </c>
      <c r="D9" s="2">
        <f>sum('260'!D9+'5525 Taylor'!D9+'4645 Valais'!D9+'1120 Lauren'!D9+'115 Memorial'!D9)</f>
        <v>6918.52</v>
      </c>
    </row>
    <row r="10">
      <c r="A10" s="1" t="s">
        <v>11</v>
      </c>
      <c r="B10" s="2">
        <f>sum('260'!B10+'5525 Taylor'!B10+'4645 Valais'!B10+'1120 Lauren'!B10+'115 Memorial'!B10)</f>
        <v>4082.15</v>
      </c>
      <c r="C10" s="2">
        <f>sum('260'!C10+'5525 Taylor'!C10+'4645 Valais'!C10+'1120 Lauren'!C10+'115 Memorial'!C10)</f>
        <v>10394.26</v>
      </c>
      <c r="D10" s="2">
        <f>sum('260'!D10+'5525 Taylor'!D10+'4645 Valais'!D10+'1120 Lauren'!D10+'115 Memorial'!D10)</f>
        <v>6312.11</v>
      </c>
      <c r="Q10" s="1">
        <f>SUM(16,500/12)</f>
        <v>57.66666667</v>
      </c>
    </row>
    <row r="11">
      <c r="A11" s="1" t="s">
        <v>12</v>
      </c>
      <c r="B11" s="2">
        <f>sum('260'!B11+'5525 Taylor'!B11+'4645 Valais'!B11+'1120 Lauren'!B11+'115 Memorial'!B11)</f>
        <v>3753.23</v>
      </c>
      <c r="C11" s="2">
        <f>sum('260'!C11+'5525 Taylor'!C11+'4645 Valais'!C11+'1120 Lauren'!C11+'115 Memorial'!C11)</f>
        <v>12350</v>
      </c>
      <c r="D11" s="2">
        <f>sum('260'!D11+'5525 Taylor'!D11+'4645 Valais'!D11+'1120 Lauren'!D11+'115 Memorial'!D11)</f>
        <v>8596.77</v>
      </c>
    </row>
    <row r="12">
      <c r="A12" s="1" t="s">
        <v>13</v>
      </c>
      <c r="B12" s="2">
        <f>sum('260'!B12+'5525 Taylor'!B12+'4645 Valais'!B12+'1120 Lauren'!B12+'115 Memorial'!B12)</f>
        <v>3093.07</v>
      </c>
      <c r="C12" s="2">
        <f>sum('260'!C12+'5525 Taylor'!C12+'4645 Valais'!C12+'1120 Lauren'!C12+'115 Memorial'!C12)</f>
        <v>12579.76</v>
      </c>
      <c r="D12" s="2">
        <f>sum('260'!D12+'5525 Taylor'!D12+'4645 Valais'!D12+'1120 Lauren'!D12+'115 Memorial'!D12)</f>
        <v>9486.69</v>
      </c>
    </row>
    <row r="13">
      <c r="A13" s="1" t="s">
        <v>14</v>
      </c>
      <c r="B13" s="10">
        <f>sum('260'!B13+'5525 Taylor'!B13+'4645 Valais'!B13+'1120 Lauren'!B13+'115 Memorial'!B13)</f>
        <v>3002.62</v>
      </c>
      <c r="C13" s="2">
        <f>sum('260'!C13+'5525 Taylor'!C13+'4645 Valais'!C13+'1120 Lauren'!C13+'115 Memorial'!C13)</f>
        <v>12377.78</v>
      </c>
      <c r="D13" s="10">
        <f>sum('260'!D13+'5525 Taylor'!D13+'4645 Valais'!D13+'1120 Lauren'!D13+'115 Memorial'!D13)</f>
        <v>9375.16</v>
      </c>
    </row>
    <row r="15">
      <c r="A15" s="11" t="s">
        <v>15</v>
      </c>
      <c r="B15" s="12">
        <f t="shared" ref="B15:D15" si="1">sum(B2:B13)</f>
        <v>61165.72</v>
      </c>
      <c r="C15" s="12">
        <f t="shared" si="1"/>
        <v>133517.92</v>
      </c>
      <c r="D15" s="12">
        <f t="shared" si="1"/>
        <v>72352.21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8">
      <c r="A18" s="13" t="s">
        <v>16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>
        <v>260.0</v>
      </c>
      <c r="B19" s="12">
        <f>'260'!D15</f>
        <v>22829.43</v>
      </c>
    </row>
    <row r="20">
      <c r="A20" s="13" t="s">
        <v>17</v>
      </c>
      <c r="B20" s="12">
        <f>'115 Memorial'!D15</f>
        <v>16408.56</v>
      </c>
    </row>
    <row r="21">
      <c r="A21" s="13" t="s">
        <v>18</v>
      </c>
      <c r="B21" s="12">
        <f>'4645 Valais'!D15</f>
        <v>12545.86</v>
      </c>
    </row>
    <row r="22">
      <c r="A22" s="13" t="s">
        <v>19</v>
      </c>
      <c r="B22" s="12">
        <f>'1120 Lauren'!D15</f>
        <v>10481.01</v>
      </c>
    </row>
    <row r="23">
      <c r="A23" s="13" t="s">
        <v>20</v>
      </c>
      <c r="B23" s="12">
        <f>'5525 Taylor'!D15</f>
        <v>10087.35</v>
      </c>
    </row>
    <row r="24">
      <c r="A24" s="14"/>
      <c r="B24" s="14"/>
    </row>
    <row r="25">
      <c r="A25" s="13" t="s">
        <v>21</v>
      </c>
      <c r="B25" s="12">
        <f>sum(B19:B23)</f>
        <v>72352.21</v>
      </c>
    </row>
  </sheetData>
  <autoFilter ref="$A$19:$B$23">
    <sortState ref="A19:B23">
      <sortCondition descending="1" ref="B19:B23"/>
    </sortState>
  </autoFilter>
  <drawing r:id="rId1"/>
</worksheet>
</file>