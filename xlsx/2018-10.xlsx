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112.72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<sst xmlns="http://schemas.openxmlformats.org/spreadsheetml/2006/main" count="111" uniqueCount="41">
  <si>
    <t>Line Item</t>
  </si>
  <si>
    <t>Debits</t>
  </si>
  <si>
    <t>Credits</t>
  </si>
  <si>
    <t>water/sewer 3 mths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</si>
  <si>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</si>
  <si>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</si>
  <si>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</si>
  <si>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</si>
  <si>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</si>
  <si>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</si>
  <si>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</si>
  <si>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</si>
  <si>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</si>
  <si>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>property tax</t>
  </si>
  <si>
    <t xml:space="preserve">waste mgmt </t>
  </si>
  <si>
    <t>Total</t>
  </si>
  <si>
    <t>Net</t>
  </si>
  <si>
    <t>Proprty tax $3542.09</t>
  </si>
  <si>
    <t>repair basement outlet</t>
  </si>
  <si>
    <t>mortgage</t>
  </si>
  <si>
    <t xml:space="preserve">water jan to march </t>
  </si>
  <si>
    <t>hoa</t>
  </si>
  <si>
    <t>Property tax</t>
  </si>
  <si>
    <t>new window $139</t>
  </si>
  <si>
    <t>install labour $100</t>
  </si>
  <si>
    <t>repair window sill $150</t>
  </si>
  <si>
    <t>home insurance</t>
  </si>
  <si>
    <t>Electricity/trash</t>
  </si>
  <si>
    <t>cobb water</t>
  </si>
  <si>
    <t>pool</t>
  </si>
  <si>
    <t>cobb property tax</t>
  </si>
  <si>
    <t>2018 $2451.55</t>
  </si>
  <si>
    <t>check 1297</t>
  </si>
  <si>
    <t>Acowrth city tax</t>
  </si>
  <si>
    <t>2018 $613.90</t>
  </si>
  <si>
    <t>Check 1298</t>
  </si>
  <si>
    <t xml:space="preserve">home insurance whole </t>
  </si>
  <si>
    <t>year $1068</t>
  </si>
  <si>
    <t>replace pool cell</t>
  </si>
  <si>
    <t>proprty tax $4350.32</t>
  </si>
  <si>
    <t>paid to Nicole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</si>
</sst>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</row>
    <row r="3" ht="15.75" customHeight="1">
      <c r="A3" t="s">
        <v>4</v>
      </c>
      <c r="B3" s="1">
        <v>38.17</v>
      </c>
    </row>
    <row r="4" ht="15.75" customHeight="1">
      <c r="A4" t="s">
        <v>5</v>
      </c>
      <c r="B4" s="1">
        <v>122.93</v>
      </c>
    </row>
    <row r="5" ht="15.75" customHeight="1">
      <c r="A5" t="s">
        <v>6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4050.0</v>
      </c>
    </row>
    <row r="9" ht="15.75" customHeight="1">
      <c r="A9" t="s">
        <v>10</v>
      </c>
      <c r="B9" s="1">
        <v>100.0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s="1" t="s">
        <v>13</v>
      </c>
      <c r="B12" s="1">
        <v>3542.09</v>
      </c>
    </row>
    <row r="13" ht="15.75" customHeight="1">
      <c r="A13" s="1" t="s">
        <v>14</v>
      </c>
      <c r="B13" s="1">
        <v>58.97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3912.16</v>
      </c>
      <c r="C15">
        <f t="shared" si="1"/>
        <v>4050</v>
      </c>
      <c r="D15">
        <f t="shared" ref="D15:D16" si="2">C15-B15</f>
        <v>137.84</v>
      </c>
    </row>
    <row r="16" ht="15.75" customHeight="1">
      <c r="D16">
        <f t="shared" si="2"/>
        <v>0</v>
      </c>
    </row>
    <row r="17" ht="15.75" customHeight="1">
      <c r="A17" s="1" t="s">
        <v>17</v>
      </c>
    </row>
    <row r="18" ht="15.75" customHeight="1">
      <c r="A18" s="1" t="s">
        <v>18</v>
      </c>
    </row>
    <row r="19" ht="15.75" customHeight="1">
      <c r="A19" s="2">
        <v>100.0</v>
      </c>
    </row>
    <row r="20" ht="15.75" customHeight="1"/>
    <row r="21" ht="15.75" customHeight="1">
      <c r="A21" s="2"/>
    </row>
    <row r="22" ht="15.75" customHeight="1"/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19</v>
      </c>
    </row>
    <row r="3" ht="15.75" customHeight="1">
      <c r="A3" t="s">
        <v>4</v>
      </c>
      <c r="B3" s="1">
        <v>35.97</v>
      </c>
    </row>
    <row r="4" ht="15.75" customHeight="1">
      <c r="A4" t="s">
        <v>5</v>
      </c>
      <c r="B4" s="1">
        <v>111.38</v>
      </c>
    </row>
    <row r="5" ht="15.75" customHeight="1">
      <c r="A5" s="1" t="s">
        <v>20</v>
      </c>
    </row>
    <row r="6" ht="15.75" customHeight="1">
      <c r="A6" t="s">
        <v>7</v>
      </c>
    </row>
    <row r="7" ht="15.75" customHeight="1">
      <c r="A7" t="s">
        <v>8</v>
      </c>
    </row>
    <row r="8" ht="15.75" customHeight="1">
      <c r="A8" t="s">
        <v>9</v>
      </c>
      <c r="C8" s="1">
        <v>1700.0</v>
      </c>
    </row>
    <row r="9" ht="15.75" customHeight="1">
      <c r="A9" t="s">
        <v>10</v>
      </c>
      <c r="B9" s="2">
        <v>389.0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s="1" t="s">
        <v>13</v>
      </c>
      <c r="B12" s="1">
        <v>3595.85</v>
      </c>
    </row>
    <row r="13" ht="15.75" customHeight="1">
      <c r="A13" t="s">
        <v>21</v>
      </c>
    </row>
    <row r="14" ht="15.75" customHeight="1"/>
    <row r="15" ht="15.75" customHeight="1">
      <c r="B15" t="s">
        <v>15</v>
      </c>
      <c r="C15" t="s">
        <v>15</v>
      </c>
      <c r="D15" t="s">
        <v>16</v>
      </c>
    </row>
    <row r="16" ht="15.75" customHeight="1">
      <c r="B16">
        <f t="shared" ref="B16:C16" si="1">sum(B3:B14)</f>
        <v>4132.2</v>
      </c>
      <c r="C16">
        <f t="shared" si="1"/>
        <v>1700</v>
      </c>
      <c r="D16">
        <f>C16-B16</f>
        <v>-2432.2</v>
      </c>
    </row>
    <row r="17" ht="15.75" customHeight="1">
      <c r="A17" s="1" t="s">
        <v>22</v>
      </c>
    </row>
    <row r="18" ht="15.75" customHeight="1">
      <c r="A18" s="3">
        <v>3595.85</v>
      </c>
    </row>
    <row r="19" ht="15.75" customHeight="1"/>
    <row r="20" ht="15.75" customHeight="1">
      <c r="A20" s="1" t="s">
        <v>23</v>
      </c>
    </row>
    <row r="21" ht="15.75" customHeight="1">
      <c r="A21" s="1" t="s">
        <v>24</v>
      </c>
    </row>
    <row r="22" ht="15.75" customHeight="1">
      <c r="A22" s="1" t="s">
        <v>25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19</v>
      </c>
      <c r="B2" s="1">
        <v>919.0</v>
      </c>
    </row>
    <row r="3" ht="15.75" customHeight="1">
      <c r="A3" t="s">
        <v>4</v>
      </c>
      <c r="B3" s="1">
        <v>30.76</v>
      </c>
    </row>
    <row r="4" ht="15.75" customHeight="1">
      <c r="A4" t="s">
        <v>5</v>
      </c>
      <c r="B4" s="1">
        <v>82.63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2350.0</v>
      </c>
    </row>
    <row r="9" ht="15.75" customHeight="1">
      <c r="A9" t="s">
        <v>10</v>
      </c>
      <c r="B9" s="1"/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s="1" t="s">
        <v>13</v>
      </c>
      <c r="B12" s="1">
        <v>2080.45</v>
      </c>
    </row>
    <row r="13" ht="15.75" customHeight="1">
      <c r="A13" t="s">
        <v>21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3162.84</v>
      </c>
      <c r="C15">
        <f t="shared" si="1"/>
        <v>2350</v>
      </c>
      <c r="D15">
        <f>C15-B15</f>
        <v>-812.84</v>
      </c>
    </row>
    <row r="16" ht="15.75" customHeight="1"/>
    <row r="17" ht="15.75" customHeight="1">
      <c r="A17" s="1" t="s">
        <v>13</v>
      </c>
    </row>
    <row r="18" ht="15.75" customHeight="1">
      <c r="A18" s="3">
        <v>2080.45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26</v>
      </c>
      <c r="B2" s="1">
        <v>1068.0</v>
      </c>
    </row>
    <row r="3" ht="15.75" customHeight="1">
      <c r="A3" t="s">
        <v>4</v>
      </c>
      <c r="B3" s="1">
        <v>32.89</v>
      </c>
    </row>
    <row r="4" ht="15.75" customHeight="1">
      <c r="A4" s="1" t="s">
        <v>27</v>
      </c>
      <c r="B4" s="1">
        <v>408.74</v>
      </c>
    </row>
    <row r="5" ht="15.75" customHeight="1">
      <c r="A5" s="1" t="s">
        <v>28</v>
      </c>
      <c r="B5" s="1">
        <v>75.62</v>
      </c>
    </row>
    <row r="6" ht="15.75" customHeight="1">
      <c r="A6" t="s">
        <v>7</v>
      </c>
      <c r="B6" s="1">
        <v>49.99</v>
      </c>
    </row>
    <row r="7" ht="15.75" customHeight="1">
      <c r="A7" t="s">
        <v>8</v>
      </c>
      <c r="B7" s="1">
        <v>135.0</v>
      </c>
    </row>
    <row r="8" ht="15.75" customHeight="1">
      <c r="A8" t="s">
        <v>9</v>
      </c>
      <c r="C8" s="1">
        <v>2350.0</v>
      </c>
    </row>
    <row r="9" ht="15.75" customHeight="1">
      <c r="A9" t="s">
        <v>10</v>
      </c>
      <c r="B9" s="1">
        <v>301.0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s="1" t="s">
        <v>13</v>
      </c>
      <c r="B12" s="1">
        <v>3065.45</v>
      </c>
    </row>
    <row r="13" ht="15.75" customHeight="1">
      <c r="A13" s="1" t="s">
        <v>29</v>
      </c>
      <c r="B13" s="2">
        <v>332.0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5468.69</v>
      </c>
      <c r="C15">
        <f t="shared" si="1"/>
        <v>2350</v>
      </c>
      <c r="D15">
        <f>C15-B15</f>
        <v>-3118.69</v>
      </c>
    </row>
    <row r="16" ht="15.75" customHeight="1"/>
    <row r="17" ht="15.75" customHeight="1">
      <c r="A17" s="1" t="s">
        <v>30</v>
      </c>
    </row>
    <row r="18" ht="15.75" customHeight="1">
      <c r="A18" s="1" t="s">
        <v>31</v>
      </c>
    </row>
    <row r="19" ht="15.75" customHeight="1">
      <c r="A19" s="1" t="s">
        <v>32</v>
      </c>
    </row>
    <row r="20" ht="15.75" customHeight="1">
      <c r="A20" s="1" t="s">
        <v>33</v>
      </c>
    </row>
    <row r="21" ht="15.75" customHeight="1">
      <c r="A21" s="1" t="s">
        <v>34</v>
      </c>
    </row>
    <row r="22" ht="15.75" customHeight="1">
      <c r="A22" s="1" t="s">
        <v>35</v>
      </c>
    </row>
    <row r="23" ht="15.75" customHeight="1">
      <c r="A23" s="1" t="s">
        <v>36</v>
      </c>
    </row>
    <row r="24" ht="15.75" customHeight="1">
      <c r="A24" s="1" t="s">
        <v>37</v>
      </c>
    </row>
    <row r="25" ht="15.75" customHeight="1">
      <c r="A25" s="1" t="s">
        <v>38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1</v>
      </c>
      <c r="C1" t="s">
        <v>2</v>
      </c>
    </row>
    <row r="2" ht="15.75" customHeight="1">
      <c r="A2" t="s">
        <v>19</v>
      </c>
    </row>
    <row r="3" ht="15.75" customHeight="1">
      <c r="A3" t="s">
        <v>4</v>
      </c>
    </row>
    <row r="4" ht="15.75" customHeight="1">
      <c r="A4" t="s">
        <v>5</v>
      </c>
      <c r="B4" s="1">
        <v>39.18</v>
      </c>
    </row>
    <row r="5" ht="15.75" customHeight="1"/>
    <row r="6" ht="15.75" customHeight="1">
      <c r="A6" t="s">
        <v>7</v>
      </c>
      <c r="B6" s="1">
        <v>40.0</v>
      </c>
    </row>
    <row r="7" ht="15.75" customHeight="1">
      <c r="A7" t="s">
        <v>8</v>
      </c>
    </row>
    <row r="8" ht="15.75" customHeight="1">
      <c r="A8" t="s">
        <v>9</v>
      </c>
      <c r="C8" s="1">
        <v>1900.0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s="1" t="s">
        <v>13</v>
      </c>
      <c r="B12" s="1">
        <v>4350.0</v>
      </c>
    </row>
    <row r="13" ht="15.75" customHeight="1">
      <c r="A13" t="s">
        <v>21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4779.18</v>
      </c>
      <c r="C15">
        <f t="shared" si="1"/>
        <v>1900</v>
      </c>
      <c r="D15">
        <f>C15-B15</f>
        <v>-2879.18</v>
      </c>
    </row>
    <row r="16" ht="15.75" customHeight="1"/>
    <row r="17" ht="15.75" customHeight="1">
      <c r="A17" s="1" t="s">
        <v>39</v>
      </c>
    </row>
    <row r="18" ht="15.75" customHeight="1">
      <c r="A18" s="1" t="s">
        <v>40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>
        <f>sum('260 East Taylors Crossing'!B15+'5525 Taylor Road'!B16+'4645 112.72valais ct'!B15+'1120 Lauren way'!B15+'115 Peachtree Memorial Drive'!B15)</f>
        <v>21455.07</v>
      </c>
      <c r="C4">
        <f>sum('260 East Taylors Crossing'!C15+'5525 Taylor Road'!C16+'4645 112.72valais ct'!C15+'1120 Lauren way'!C15+'115 Peachtree Memorial Drive'!C15)</f>
        <v>12350</v>
      </c>
      <c r="D4">
        <f>sum('260 East Taylors Crossing'!D15+'5525 Taylor Road'!D16+'4645 112.72valais ct'!D15+'1120 Lauren way'!D15+'115 Peachtree Memorial Drive'!D15)</f>
        <v>-9105.07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