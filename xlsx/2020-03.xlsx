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60 East Taylors Crossing" sheetId="1" r:id="rId4"/>
    <sheet state="visible" name="5525 Taylor Road" sheetId="2" r:id="rId5"/>
    <sheet state="visible" name="4645 valais ct" sheetId="3" r:id="rId6"/>
    <sheet state="visible" name="1120 Lauren way" sheetId="4" r:id="rId7"/>
    <sheet state="visible" name="115 Peachtree Memorial Drive" sheetId="5" r:id="rId8"/>
    <sheet state="visible" name="Totals" sheetId="6" r:id="rId9"/>
  </sheets>
  <definedNames/>
  <calcPr/>
</workbook>
</file>

<file path=xl/sharedStrings.xml><?xml version="1.0" encoding="utf-8"?>
<sst xmlns="http://schemas.openxmlformats.org/spreadsheetml/2006/main" count="93" uniqueCount="22">
  <si>
    <t>Line Item</t>
  </si>
  <si>
    <t>Debits</t>
  </si>
  <si>
    <t>Credits</t>
  </si>
  <si>
    <t>water 3 months</t>
  </si>
  <si>
    <t>Gas</t>
  </si>
  <si>
    <t>Electricity</t>
  </si>
  <si>
    <t>yearly home  insurance</t>
  </si>
  <si>
    <t>internet/cable</t>
  </si>
  <si>
    <t>Lawn Care</t>
  </si>
  <si>
    <t xml:space="preserve">rental income </t>
  </si>
  <si>
    <t>Repairs and Design</t>
  </si>
  <si>
    <t>Home Goods</t>
  </si>
  <si>
    <t>Cleaning and Supplies</t>
  </si>
  <si>
    <t xml:space="preserve">pest control </t>
  </si>
  <si>
    <t>annual nest subscrip</t>
  </si>
  <si>
    <t>Total</t>
  </si>
  <si>
    <t>Net</t>
  </si>
  <si>
    <t xml:space="preserve">waste mgmt </t>
  </si>
  <si>
    <t>hoa</t>
  </si>
  <si>
    <t>mortgage</t>
  </si>
  <si>
    <t>Electricity/trash</t>
  </si>
  <si>
    <t>cobb water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</si>
</sst>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"/>
    <numFmt numFmtId="165" formatCode="&quot;$&quot;#,##0.00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3</v>
      </c>
      <c r="B2" s="1">
        <v>170.23</v>
      </c>
    </row>
    <row r="3" ht="15.75" customHeight="1">
      <c r="A3" t="s">
        <v>4</v>
      </c>
      <c r="B3" s="1">
        <v>118.79</v>
      </c>
    </row>
    <row r="4" ht="15.75" customHeight="1">
      <c r="A4" t="s">
        <v>5</v>
      </c>
      <c r="B4" s="1">
        <v>120.69</v>
      </c>
    </row>
    <row r="5" ht="15.75" customHeight="1">
      <c r="A5" t="s">
        <v>6</v>
      </c>
    </row>
    <row r="6" ht="15.75" customHeight="1">
      <c r="A6" t="s">
        <v>7</v>
      </c>
      <c r="B6" s="1">
        <v>128.52</v>
      </c>
    </row>
    <row r="7" ht="15.75" customHeight="1">
      <c r="A7" t="s">
        <v>8</v>
      </c>
    </row>
    <row r="8" ht="15.75" customHeight="1">
      <c r="A8" t="s">
        <v>9</v>
      </c>
      <c r="C8" s="1">
        <v>4250.0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s="1" t="s">
        <v>14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538.23</v>
      </c>
      <c r="C15">
        <f>sum(C2:C13)</f>
        <v>4250</v>
      </c>
      <c r="D15">
        <f>C15-B15</f>
        <v>3711.77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>
      <c r="A21" s="2"/>
    </row>
    <row r="22" ht="15.75" customHeight="1"/>
    <row r="23" ht="15.75" customHeight="1">
      <c r="A23" s="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s="1" t="s">
        <v>17</v>
      </c>
      <c r="B2" s="3">
        <v>53.72</v>
      </c>
    </row>
    <row r="3" ht="15.75" customHeight="1">
      <c r="A3" t="s">
        <v>4</v>
      </c>
      <c r="B3" s="1">
        <v>124.33</v>
      </c>
    </row>
    <row r="4" ht="15.75" customHeight="1">
      <c r="A4" t="s">
        <v>5</v>
      </c>
      <c r="B4" s="1">
        <v>141.64</v>
      </c>
    </row>
    <row r="5" ht="15.75" customHeight="1">
      <c r="A5" s="1" t="s">
        <v>3</v>
      </c>
      <c r="B5" s="1">
        <v>158.98</v>
      </c>
    </row>
    <row r="6" ht="15.75" customHeight="1">
      <c r="A6" t="s">
        <v>7</v>
      </c>
      <c r="B6" s="1">
        <v>118.18</v>
      </c>
    </row>
    <row r="7" ht="15.75" customHeight="1">
      <c r="A7" t="s">
        <v>8</v>
      </c>
    </row>
    <row r="8" ht="15.75" customHeight="1">
      <c r="A8" t="s">
        <v>9</v>
      </c>
      <c r="C8" s="1">
        <v>2450.0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</row>
    <row r="14" ht="15.75" customHeight="1"/>
    <row r="15" ht="15.75" customHeight="1">
      <c r="B15" t="s">
        <v>15</v>
      </c>
      <c r="C15" t="s">
        <v>15</v>
      </c>
      <c r="D15" t="s">
        <v>16</v>
      </c>
    </row>
    <row r="16" ht="15.75" customHeight="1">
      <c r="B16" s="1">
        <v>596.84</v>
      </c>
      <c r="C16">
        <f>sum(C3:C14)</f>
        <v>2450</v>
      </c>
      <c r="D16">
        <f>C16-B16</f>
        <v>1853.16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  <c r="B2" s="1">
        <v>919.0</v>
      </c>
    </row>
    <row r="3" ht="15.75" customHeight="1">
      <c r="A3" t="s">
        <v>4</v>
      </c>
      <c r="B3" s="1">
        <v>76.2</v>
      </c>
    </row>
    <row r="4" ht="15.75" customHeight="1">
      <c r="A4" t="s">
        <v>5</v>
      </c>
      <c r="B4" s="1">
        <v>70.0</v>
      </c>
    </row>
    <row r="5" ht="15.75" customHeight="1"/>
    <row r="6" ht="15.75" customHeight="1">
      <c r="A6" t="s">
        <v>7</v>
      </c>
      <c r="B6" s="1">
        <v>63.0</v>
      </c>
    </row>
    <row r="7" ht="15.75" customHeight="1">
      <c r="A7" t="s">
        <v>8</v>
      </c>
    </row>
    <row r="8" ht="15.75" customHeight="1">
      <c r="A8" t="s">
        <v>9</v>
      </c>
      <c r="C8" s="1">
        <v>2350.0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  <c r="B13" s="1">
        <v>125.0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1253.2</v>
      </c>
      <c r="C15">
        <f t="shared" si="1"/>
        <v>2350</v>
      </c>
      <c r="D15">
        <f>C15-B15</f>
        <v>1096.8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  <c r="B3" s="1">
        <v>103.84</v>
      </c>
    </row>
    <row r="4" ht="15.75" customHeight="1">
      <c r="A4" s="1" t="s">
        <v>20</v>
      </c>
      <c r="B4" s="1">
        <v>164.79</v>
      </c>
    </row>
    <row r="5" ht="15.75" customHeight="1">
      <c r="A5" s="1" t="s">
        <v>21</v>
      </c>
      <c r="B5" s="1">
        <v>33.58</v>
      </c>
    </row>
    <row r="6" ht="15.75" customHeight="1">
      <c r="A6" t="s">
        <v>7</v>
      </c>
      <c r="B6" s="1">
        <v>30.0</v>
      </c>
    </row>
    <row r="7" ht="15.75" customHeight="1">
      <c r="A7" t="s">
        <v>8</v>
      </c>
      <c r="B7" s="1">
        <v>90.0</v>
      </c>
    </row>
    <row r="8" ht="15.75" customHeight="1">
      <c r="A8" t="s">
        <v>9</v>
      </c>
      <c r="C8" s="1">
        <v>1300.0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 s="1">
        <v>474.76</v>
      </c>
      <c r="C15">
        <f>sum(C2:C13)</f>
        <v>1300</v>
      </c>
      <c r="D15" s="1">
        <v>825.24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s="1">
        <v>14.0</v>
      </c>
      <c r="B1" t="s">
        <v>1</v>
      </c>
      <c r="C1" t="s">
        <v>2</v>
      </c>
    </row>
    <row r="2" ht="15.75" customHeight="1">
      <c r="A2" t="s">
        <v>19</v>
      </c>
    </row>
    <row r="3" ht="15.75" customHeight="1">
      <c r="A3" t="s">
        <v>4</v>
      </c>
    </row>
    <row r="4" ht="15.75" customHeight="1">
      <c r="A4" t="s">
        <v>5</v>
      </c>
      <c r="B4" s="1">
        <v>140.34</v>
      </c>
    </row>
    <row r="5" ht="15.75" customHeight="1"/>
    <row r="6" ht="15.75" customHeight="1">
      <c r="A6" t="s">
        <v>7</v>
      </c>
      <c r="B6" s="1">
        <v>50.0</v>
      </c>
    </row>
    <row r="7" ht="15.75" customHeight="1">
      <c r="A7" t="s">
        <v>8</v>
      </c>
    </row>
    <row r="8" ht="15.75" customHeight="1">
      <c r="A8" t="s">
        <v>9</v>
      </c>
      <c r="C8" s="1">
        <v>900.0</v>
      </c>
    </row>
    <row r="9" ht="15.75" customHeight="1">
      <c r="A9" t="s">
        <v>10</v>
      </c>
    </row>
    <row r="10" ht="15.75" customHeight="1">
      <c r="A10" t="s">
        <v>11</v>
      </c>
    </row>
    <row r="11" ht="15.75" customHeight="1">
      <c r="A11" t="s">
        <v>12</v>
      </c>
    </row>
    <row r="12" ht="15.75" customHeight="1">
      <c r="A12" t="s">
        <v>13</v>
      </c>
    </row>
    <row r="13" ht="15.75" customHeight="1">
      <c r="A13" t="s">
        <v>18</v>
      </c>
      <c r="B13" s="1">
        <v>350.0</v>
      </c>
    </row>
    <row r="14" ht="15.75" customHeight="1">
      <c r="B14" t="s">
        <v>15</v>
      </c>
      <c r="C14" t="s">
        <v>15</v>
      </c>
      <c r="D14" t="s">
        <v>16</v>
      </c>
    </row>
    <row r="15" ht="15.75" customHeight="1">
      <c r="B15">
        <f t="shared" ref="B15:C15" si="1">sum(B2:B13)</f>
        <v>540.34</v>
      </c>
      <c r="C15">
        <f t="shared" si="1"/>
        <v>900</v>
      </c>
      <c r="D15">
        <f>C15-B15</f>
        <v>359.66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13"/>
    <col customWidth="1" min="2" max="6" width="12.63"/>
  </cols>
  <sheetData>
    <row r="1" ht="15.75" customHeight="1">
      <c r="A1" t="s">
        <v>0</v>
      </c>
      <c r="B1" t="s">
        <v>1</v>
      </c>
      <c r="C1" t="s">
        <v>2</v>
      </c>
    </row>
    <row r="2" ht="15.75" customHeight="1"/>
    <row r="3" ht="15.75" customHeight="1">
      <c r="B3" t="s">
        <v>15</v>
      </c>
      <c r="C3" t="s">
        <v>15</v>
      </c>
      <c r="D3" t="s">
        <v>16</v>
      </c>
    </row>
    <row r="4" ht="15.75" customHeight="1">
      <c r="B4">
        <f>sum('260 East Taylors Crossing'!B15+'5525 Taylor Road'!B16+'4645 valais ct'!B15+'1120 Lauren way'!B15+'115 Peachtree Memorial Drive'!B15)</f>
        <v>3403.37</v>
      </c>
      <c r="C4">
        <f>sum('260 East Taylors Crossing'!C15+'5525 Taylor Road'!C16+'4645 valais ct'!C15+'1120 Lauren way'!C15+'115 Peachtree Memorial Drive'!C15)</f>
        <v>11250</v>
      </c>
      <c r="D4">
        <f>sum('260 East Taylors Crossing'!D15+'5525 Taylor Road'!D16+'4645 valais ct'!D15+'1120 Lauren way'!D15+'115 Peachtree Memorial Drive'!D15)</f>
        <v>7846.63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