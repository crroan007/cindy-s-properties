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<sst xmlns="http://schemas.openxmlformats.org/spreadsheetml/2006/main" count="95" uniqueCount="23">
  <si>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</si>
  <si>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</si>
  <si>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</si>
  <si>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</si>
  <si>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</si>
  <si>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</si>
  <si>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</si>
  <si>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</si>
  <si>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</si>
  <si>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</si>
  <si>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</si>
  <si>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</si>
  <si>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</si>
  <si>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</si>
  <si>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</si>
  <si>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</si>
  <si>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</si>
  <si>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basement supplies</t>
  </si>
  <si>
    <t>repair garage door</t>
  </si>
  <si>
    <t>mortgage</t>
  </si>
  <si>
    <t xml:space="preserve">water jan to march </t>
  </si>
  <si>
    <t>hoa</t>
  </si>
  <si>
    <t>cobb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</si>
</sst>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115.55</v>
      </c>
    </row>
    <row r="3" ht="15.75" customHeight="1">
      <c r="A3" t="s">
        <v>4</v>
      </c>
      <c r="B3" s="1">
        <v>202.32</v>
      </c>
    </row>
    <row r="4" ht="15.75" customHeight="1">
      <c r="A4" t="s">
        <v>5</v>
      </c>
      <c r="B4" s="1">
        <v>153.38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  <c r="B7" s="1">
        <v>37.5</v>
      </c>
    </row>
    <row r="8" ht="15.75" customHeight="1">
      <c r="A8" t="s">
        <v>9</v>
      </c>
      <c r="C8" s="1">
        <v>3482.0</v>
      </c>
    </row>
    <row r="9" ht="15.75" customHeight="1">
      <c r="A9" t="s">
        <v>10</v>
      </c>
      <c r="B9" s="1">
        <v>2000.0</v>
      </c>
    </row>
    <row r="10" ht="15.75" customHeight="1">
      <c r="A10" t="s">
        <v>11</v>
      </c>
      <c r="B10" s="1">
        <v>700.0</v>
      </c>
    </row>
    <row r="11" ht="15.75" customHeight="1">
      <c r="A11" t="s">
        <v>12</v>
      </c>
      <c r="B11" s="1">
        <v>370.0</v>
      </c>
    </row>
    <row r="12" ht="15.75" customHeight="1">
      <c r="A12" t="s">
        <v>13</v>
      </c>
    </row>
    <row r="13" ht="15.75" customHeight="1">
      <c r="A13" s="1" t="s">
        <v>14</v>
      </c>
      <c r="B13" s="1">
        <v>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3678.75</v>
      </c>
      <c r="C15">
        <f t="shared" si="1"/>
        <v>3482</v>
      </c>
      <c r="D15">
        <f>C15-B15</f>
        <v>-196.75</v>
      </c>
    </row>
    <row r="16" ht="15.75" customHeight="1"/>
    <row r="17" ht="15.75" customHeight="1"/>
    <row r="18" ht="15.75" customHeight="1"/>
    <row r="19" ht="15.75" customHeight="1">
      <c r="A19" s="1"/>
    </row>
    <row r="20" ht="15.75" customHeight="1">
      <c r="A20" s="1" t="s">
        <v>17</v>
      </c>
    </row>
    <row r="21" ht="15.75" customHeight="1">
      <c r="A21" s="2">
        <v>350.0</v>
      </c>
    </row>
    <row r="22" ht="15.75" customHeight="1">
      <c r="A22" s="1" t="s">
        <v>18</v>
      </c>
    </row>
    <row r="23" ht="15.75" customHeight="1">
      <c r="A23" s="2">
        <v>370.0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</row>
    <row r="3" ht="15.75" customHeight="1">
      <c r="A3" t="s">
        <v>4</v>
      </c>
      <c r="B3" s="1">
        <v>46.5</v>
      </c>
    </row>
    <row r="4" ht="15.75" customHeight="1">
      <c r="A4" t="s">
        <v>5</v>
      </c>
      <c r="B4" s="1">
        <v>98.97</v>
      </c>
    </row>
    <row r="5" ht="15.75" customHeight="1">
      <c r="A5" s="1" t="s">
        <v>20</v>
      </c>
      <c r="B5" s="1">
        <v>45.84</v>
      </c>
    </row>
    <row r="6" ht="15.75" customHeight="1">
      <c r="A6" t="s">
        <v>7</v>
      </c>
      <c r="B6" s="1">
        <v>164.68</v>
      </c>
    </row>
    <row r="7" ht="15.75" customHeight="1">
      <c r="A7" t="s">
        <v>8</v>
      </c>
    </row>
    <row r="8" ht="15.75" customHeight="1">
      <c r="A8" t="s">
        <v>9</v>
      </c>
      <c r="C8" s="1">
        <v>900.0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21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>
        <f t="shared" ref="B16:C16" si="1">sum(B3:B14)</f>
        <v>355.99</v>
      </c>
      <c r="C16">
        <f t="shared" si="1"/>
        <v>900</v>
      </c>
      <c r="D16">
        <f>C16-B16</f>
        <v>544.01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  <c r="B2" s="1">
        <v>813.0</v>
      </c>
    </row>
    <row r="3" ht="15.75" customHeight="1">
      <c r="A3" t="s">
        <v>4</v>
      </c>
      <c r="B3" s="1">
        <v>50.49</v>
      </c>
    </row>
    <row r="4" ht="15.75" customHeight="1">
      <c r="A4" t="s">
        <v>5</v>
      </c>
      <c r="B4" s="1">
        <v>48.82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2300.0</v>
      </c>
    </row>
    <row r="9" ht="15.75" customHeight="1">
      <c r="A9" t="s">
        <v>10</v>
      </c>
      <c r="B9" s="1">
        <v>90.0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21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1177.31</v>
      </c>
      <c r="C15">
        <f t="shared" si="1"/>
        <v>2300</v>
      </c>
      <c r="D15">
        <f>C15-B15</f>
        <v>1122.69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  <c r="B2" s="1">
        <v>845.0</v>
      </c>
    </row>
    <row r="3" ht="15.75" customHeight="1">
      <c r="A3" t="s">
        <v>4</v>
      </c>
      <c r="B3" s="1">
        <v>162.86</v>
      </c>
    </row>
    <row r="4" ht="15.75" customHeight="1">
      <c r="A4" t="s">
        <v>5</v>
      </c>
      <c r="B4" s="1">
        <v>88.98</v>
      </c>
    </row>
    <row r="5" ht="15.75" customHeight="1">
      <c r="A5" s="1" t="s">
        <v>22</v>
      </c>
      <c r="B5" s="1">
        <v>62.0</v>
      </c>
    </row>
    <row r="6" ht="15.75" customHeight="1">
      <c r="A6" t="s">
        <v>7</v>
      </c>
      <c r="B6" s="1">
        <v>44.99</v>
      </c>
    </row>
    <row r="7" ht="15.75" customHeight="1">
      <c r="A7" t="s">
        <v>8</v>
      </c>
    </row>
    <row r="8" ht="15.75" customHeight="1">
      <c r="A8" t="s">
        <v>9</v>
      </c>
      <c r="C8" s="1">
        <v>1554.76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21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1203.83</v>
      </c>
      <c r="C15">
        <f t="shared" si="1"/>
        <v>1554.76</v>
      </c>
      <c r="D15">
        <f>C15-B15</f>
        <v>350.93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19</v>
      </c>
    </row>
    <row r="3" ht="15.75" customHeight="1">
      <c r="A3" t="s">
        <v>4</v>
      </c>
    </row>
    <row r="4" ht="15.75" customHeight="1">
      <c r="A4" t="s">
        <v>5</v>
      </c>
      <c r="B4" s="1">
        <v>46.25</v>
      </c>
    </row>
    <row r="5" ht="15.75" customHeight="1"/>
    <row r="6" ht="15.75" customHeight="1">
      <c r="A6" t="s">
        <v>7</v>
      </c>
      <c r="B6" s="1">
        <v>40.0</v>
      </c>
    </row>
    <row r="7" ht="15.75" customHeight="1">
      <c r="A7" t="s">
        <v>8</v>
      </c>
    </row>
    <row r="8" ht="15.75" customHeight="1">
      <c r="A8" t="s">
        <v>9</v>
      </c>
      <c r="C8" s="1">
        <v>2200.0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21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436.25</v>
      </c>
      <c r="C15">
        <f t="shared" si="1"/>
        <v>2200</v>
      </c>
      <c r="D15">
        <f>C15-B15</f>
        <v>1763.75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6852.13</v>
      </c>
      <c r="C4">
        <f>sum('260 East Taylors Crossing'!C15+'5525 Taylor Road'!C16+'4645 valais ct'!C15+'1120 Lauren way'!C15+'115 Peachtree Memorial Drive'!C15)</f>
        <v>10436.76</v>
      </c>
      <c r="D4">
        <f>sum('260 East Taylors Crossing'!D15+'5525 Taylor Road'!D16+'4645 valais ct'!D15+'1120 Lauren way'!D15+'115 Peachtree Memorial Drive'!D15)</f>
        <v>3584.63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