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<sst xmlns="http://schemas.openxmlformats.org/spreadsheetml/2006/main" count="96" uniqueCount="27">
  <si>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</si>
  <si>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</si>
  <si>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</si>
  <si>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</si>
  <si>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</si>
  <si>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</si>
  <si>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</si>
  <si>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</si>
  <si>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</si>
  <si>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</si>
  <si>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</si>
  <si>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</si>
  <si>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</si>
  <si>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</si>
  <si>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</si>
  <si>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</si>
  <si>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</si>
  <si>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RepublictrashNov/dec</t>
  </si>
  <si>
    <t xml:space="preserve">water jan to march </t>
  </si>
  <si>
    <t>new floor</t>
  </si>
  <si>
    <t>hoa</t>
  </si>
  <si>
    <t>vinyl floors $1234</t>
  </si>
  <si>
    <t>fan $35</t>
  </si>
  <si>
    <t>Install fan $200</t>
  </si>
  <si>
    <t>mortgage</t>
  </si>
  <si>
    <t>Electricity/trash</t>
  </si>
  <si>
    <t>cobb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</si>
</sst>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</row>
    <row r="3" ht="15.75" customHeight="1">
      <c r="A3" t="s">
        <v>4</v>
      </c>
      <c r="B3" s="1">
        <v>109.39</v>
      </c>
    </row>
    <row r="4" ht="15.75" customHeight="1">
      <c r="A4" t="s">
        <v>5</v>
      </c>
      <c r="B4" s="1">
        <v>129.28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3775.0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288.67</v>
      </c>
      <c r="C15">
        <f t="shared" si="1"/>
        <v>3775</v>
      </c>
      <c r="D15">
        <f>C15-B15</f>
        <v>3486.33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17</v>
      </c>
      <c r="B2" s="3">
        <v>185.5</v>
      </c>
    </row>
    <row r="3" ht="15.75" customHeight="1">
      <c r="A3" t="s">
        <v>4</v>
      </c>
      <c r="B3" s="1">
        <v>76.74</v>
      </c>
    </row>
    <row r="4" ht="15.75" customHeight="1">
      <c r="A4" t="s">
        <v>5</v>
      </c>
      <c r="B4" s="1">
        <v>76.72</v>
      </c>
    </row>
    <row r="5" ht="15.75" customHeight="1">
      <c r="A5" s="1" t="s">
        <v>18</v>
      </c>
    </row>
    <row r="6" ht="15.75" customHeight="1">
      <c r="A6" t="s">
        <v>7</v>
      </c>
      <c r="B6" s="1">
        <v>164.89</v>
      </c>
    </row>
    <row r="7" ht="15.75" customHeight="1">
      <c r="A7" t="s">
        <v>8</v>
      </c>
    </row>
    <row r="8" ht="15.75" customHeight="1">
      <c r="A8" t="s">
        <v>9</v>
      </c>
      <c r="C8" s="1">
        <v>1750.0</v>
      </c>
    </row>
    <row r="9" ht="15.75" customHeight="1">
      <c r="A9" t="s">
        <v>10</v>
      </c>
      <c r="B9" s="2">
        <v>250.0</v>
      </c>
    </row>
    <row r="10" ht="15.75" customHeight="1">
      <c r="A10" s="1" t="s">
        <v>19</v>
      </c>
      <c r="B10" s="1">
        <v>1234.0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20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 s="4">
        <f>sum(B2:B14)</f>
        <v>1987.85</v>
      </c>
      <c r="C16">
        <f>sum(C3:C14)</f>
        <v>1750</v>
      </c>
      <c r="D16" s="4">
        <f>C16-B16</f>
        <v>-237.85</v>
      </c>
    </row>
    <row r="17" ht="15.75" customHeight="1">
      <c r="A17" s="1" t="s">
        <v>21</v>
      </c>
    </row>
    <row r="18" ht="15.75" customHeight="1">
      <c r="A18" s="1" t="s">
        <v>22</v>
      </c>
    </row>
    <row r="19" ht="15.75" customHeight="1">
      <c r="A19" s="1" t="s">
        <v>23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24</v>
      </c>
      <c r="B2" s="1">
        <v>919.0</v>
      </c>
    </row>
    <row r="3" ht="15.75" customHeight="1">
      <c r="A3" t="s">
        <v>4</v>
      </c>
      <c r="B3" s="1">
        <v>52.78</v>
      </c>
    </row>
    <row r="4" ht="15.75" customHeight="1">
      <c r="A4" t="s">
        <v>5</v>
      </c>
      <c r="B4" s="1">
        <v>72.93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20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1219.71</v>
      </c>
      <c r="C15">
        <f t="shared" si="1"/>
        <v>2350</v>
      </c>
      <c r="D15">
        <f>C15-B15</f>
        <v>1130.29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24</v>
      </c>
    </row>
    <row r="3" ht="15.75" customHeight="1">
      <c r="A3" t="s">
        <v>4</v>
      </c>
      <c r="B3" s="1">
        <v>122.47</v>
      </c>
    </row>
    <row r="4" ht="15.75" customHeight="1">
      <c r="A4" s="1" t="s">
        <v>25</v>
      </c>
      <c r="B4" s="1">
        <v>96.08</v>
      </c>
    </row>
    <row r="5" ht="15.75" customHeight="1">
      <c r="A5" s="1" t="s">
        <v>26</v>
      </c>
      <c r="B5" s="1">
        <v>33.58</v>
      </c>
    </row>
    <row r="6" ht="15.75" customHeight="1">
      <c r="A6" t="s">
        <v>7</v>
      </c>
      <c r="B6" s="1">
        <v>49.95</v>
      </c>
    </row>
    <row r="7" ht="15.75" customHeight="1">
      <c r="A7" t="s">
        <v>8</v>
      </c>
    </row>
    <row r="8" ht="15.75" customHeight="1">
      <c r="A8" t="s">
        <v>9</v>
      </c>
      <c r="C8" s="1">
        <v>2550.0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>sum(B3:B13)</f>
        <v>302.08</v>
      </c>
      <c r="C15">
        <f>sum(C2:C13)</f>
        <v>2550</v>
      </c>
      <c r="D15">
        <f>C15-B15</f>
        <v>2247.92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24</v>
      </c>
    </row>
    <row r="3" ht="15.75" customHeight="1">
      <c r="A3" t="s">
        <v>4</v>
      </c>
    </row>
    <row r="4" ht="15.75" customHeight="1">
      <c r="A4" t="s">
        <v>5</v>
      </c>
      <c r="B4" s="1">
        <v>141.09</v>
      </c>
    </row>
    <row r="5" ht="15.75" customHeight="1"/>
    <row r="6" ht="15.75" customHeight="1">
      <c r="A6" t="s">
        <v>7</v>
      </c>
    </row>
    <row r="7" ht="15.75" customHeight="1">
      <c r="A7" t="s">
        <v>8</v>
      </c>
    </row>
    <row r="8" ht="15.75" customHeight="1">
      <c r="A8" t="s">
        <v>9</v>
      </c>
      <c r="C8" s="1">
        <v>1900.0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20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491.09</v>
      </c>
      <c r="C15">
        <f>sum(C2:C13)</f>
        <v>1900</v>
      </c>
      <c r="D15">
        <f>C15-B15</f>
        <v>1408.91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 s="4">
        <f>sum('260 East Taylors Crossing'!B15+'5525 Taylor Road'!B16+'4645 valais ct'!B15+'1120 Lauren way'!B15+'115 Peachtree Memorial Drive'!B15)</f>
        <v>4289.4</v>
      </c>
      <c r="C4">
        <f>sum('260 East Taylors Crossing'!C15+'5525 Taylor Road'!C16+'4645 valais ct'!C15+'1120 Lauren way'!C15+'115 Peachtree Memorial Drive'!C15)</f>
        <v>12325</v>
      </c>
      <c r="D4" s="4">
        <f>sum('260 East Taylors Crossing'!D15+'5525 Taylor Road'!D16+'4645 valais ct'!D15+'1120 Lauren way'!D15+'115 Peachtree Memorial Drive'!D15)</f>
        <v>8035.6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