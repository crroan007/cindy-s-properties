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<sst xmlns="http://schemas.openxmlformats.org/spreadsheetml/2006/main" count="111" uniqueCount="43">
  <si>
    <t>Debits</t>
  </si>
  <si>
    <t>Credits</t>
  </si>
  <si>
    <t>water/sewer 3 mths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</si>
  <si>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</si>
  <si>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</si>
  <si>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</si>
  <si>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</si>
  <si>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</si>
  <si>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</si>
  <si>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</si>
  <si>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</si>
  <si>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</si>
  <si>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</si>
  <si>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annual nest subscrip</t>
  </si>
  <si>
    <t>Total</t>
  </si>
  <si>
    <t>Net</t>
  </si>
  <si>
    <t>Line Item</t>
  </si>
  <si>
    <t>RepublictrashNov/dec</t>
  </si>
  <si>
    <t xml:space="preserve">water jan to march </t>
  </si>
  <si>
    <t>Renovation</t>
  </si>
  <si>
    <t>-$24.406.4</t>
  </si>
  <si>
    <t>renovation - $25k</t>
  </si>
  <si>
    <t>dumpster - $600</t>
  </si>
  <si>
    <t>deck materials - $2k</t>
  </si>
  <si>
    <t>deck labour - $2k</t>
  </si>
  <si>
    <t>Picture window $622.59</t>
  </si>
  <si>
    <t>kitchen sliding windows</t>
  </si>
  <si>
    <t>Hardie planks - $6k</t>
  </si>
  <si>
    <t>kitchen cabinet painting</t>
  </si>
  <si>
    <t>$300 labour</t>
  </si>
  <si>
    <t>Interior living room paint</t>
  </si>
  <si>
    <t>labour - $500</t>
  </si>
  <si>
    <t>siding paint/interior paint</t>
  </si>
  <si>
    <t>$1k</t>
  </si>
  <si>
    <t xml:space="preserve">siding paint labour </t>
  </si>
  <si>
    <t>siding labour $6700</t>
  </si>
  <si>
    <t>wrap labour $800</t>
  </si>
  <si>
    <t>patio door - $869</t>
  </si>
  <si>
    <t>massage chair $800</t>
  </si>
  <si>
    <t>mortgage</t>
  </si>
  <si>
    <t>hoa</t>
  </si>
  <si>
    <t xml:space="preserve">Electricity/trash </t>
  </si>
  <si>
    <t>cobb 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</si>
</sst>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s="1">
        <v>0.0</v>
      </c>
      <c r="B1" t="s">
        <v>0</v>
      </c>
      <c r="C1" t="s">
        <v>1</v>
      </c>
    </row>
    <row r="2" ht="15.75" customHeight="1">
      <c r="A2" s="1" t="s">
        <v>2</v>
      </c>
      <c r="B2" s="1">
        <v>101.69</v>
      </c>
    </row>
    <row r="3" ht="15.75" customHeight="1">
      <c r="A3" t="s">
        <v>3</v>
      </c>
      <c r="B3" s="1">
        <v>103.23</v>
      </c>
    </row>
    <row r="4" ht="15.75" customHeight="1">
      <c r="A4" t="s">
        <v>4</v>
      </c>
      <c r="B4" s="1">
        <v>117.65</v>
      </c>
    </row>
    <row r="5" ht="15.75" customHeight="1">
      <c r="A5" t="s">
        <v>5</v>
      </c>
    </row>
    <row r="6" ht="15.75" customHeight="1">
      <c r="A6" t="s">
        <v>6</v>
      </c>
      <c r="B6" s="1">
        <v>50.0</v>
      </c>
    </row>
    <row r="7" ht="15.75" customHeight="1">
      <c r="A7" t="s">
        <v>7</v>
      </c>
    </row>
    <row r="8" ht="15.75" customHeight="1">
      <c r="A8" t="s">
        <v>8</v>
      </c>
      <c r="C8" s="1">
        <v>4050.0</v>
      </c>
    </row>
    <row r="9" ht="15.75" customHeight="1">
      <c r="A9" t="s">
        <v>9</v>
      </c>
    </row>
    <row r="10" ht="15.75" customHeight="1">
      <c r="A10" t="s">
        <v>10</v>
      </c>
    </row>
    <row r="11" ht="15.75" customHeight="1">
      <c r="A11" t="s">
        <v>11</v>
      </c>
    </row>
    <row r="12" ht="15.75" customHeight="1">
      <c r="A12" t="s">
        <v>12</v>
      </c>
    </row>
    <row r="13" ht="15.75" customHeight="1">
      <c r="A13" s="1" t="s">
        <v>13</v>
      </c>
    </row>
    <row r="14" ht="15.75" customHeight="1">
      <c r="B14" t="s">
        <v>14</v>
      </c>
      <c r="C14" t="s">
        <v>14</v>
      </c>
      <c r="D14" t="s">
        <v>15</v>
      </c>
    </row>
    <row r="15" ht="15.75" customHeight="1">
      <c r="B15">
        <f t="shared" ref="B15:C15" si="1">sum(B2:B13)</f>
        <v>372.57</v>
      </c>
      <c r="C15">
        <f t="shared" si="1"/>
        <v>4050</v>
      </c>
      <c r="D15">
        <f>C15-B15</f>
        <v>3677.43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>
      <c r="A21" s="2"/>
    </row>
    <row r="22" ht="15.75" customHeight="1"/>
    <row r="23" ht="15.75" customHeight="1">
      <c r="A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16</v>
      </c>
      <c r="B1" t="s">
        <v>0</v>
      </c>
      <c r="C1" t="s">
        <v>1</v>
      </c>
    </row>
    <row r="2" ht="15.75" customHeight="1">
      <c r="A2" s="1" t="s">
        <v>17</v>
      </c>
      <c r="B2" s="3"/>
    </row>
    <row r="3" ht="15.75" customHeight="1">
      <c r="A3" t="s">
        <v>3</v>
      </c>
      <c r="B3" s="1">
        <v>83.45</v>
      </c>
    </row>
    <row r="4" ht="15.75" customHeight="1">
      <c r="A4" t="s">
        <v>4</v>
      </c>
      <c r="B4" s="1">
        <v>85.42</v>
      </c>
    </row>
    <row r="5" ht="15.75" customHeight="1">
      <c r="A5" s="1" t="s">
        <v>18</v>
      </c>
      <c r="B5" s="1">
        <v>70.53</v>
      </c>
    </row>
    <row r="6" ht="15.75" customHeight="1">
      <c r="A6" t="s">
        <v>6</v>
      </c>
      <c r="B6" s="1">
        <v>117.0</v>
      </c>
    </row>
    <row r="7" ht="15.75" customHeight="1">
      <c r="A7" t="s">
        <v>7</v>
      </c>
    </row>
    <row r="8" ht="15.75" customHeight="1">
      <c r="A8" t="s">
        <v>8</v>
      </c>
      <c r="C8" s="1">
        <v>1750.0</v>
      </c>
    </row>
    <row r="9" ht="15.75" customHeight="1">
      <c r="A9" t="s">
        <v>9</v>
      </c>
    </row>
    <row r="10" ht="15.75" customHeight="1">
      <c r="A10" t="s">
        <v>10</v>
      </c>
      <c r="B10" s="1">
        <v>800.0</v>
      </c>
    </row>
    <row r="11" ht="15.75" customHeight="1">
      <c r="A11" t="s">
        <v>11</v>
      </c>
    </row>
    <row r="12" ht="15.75" customHeight="1">
      <c r="A12" t="s">
        <v>12</v>
      </c>
    </row>
    <row r="13" ht="15.75" customHeight="1">
      <c r="A13" s="1" t="s">
        <v>19</v>
      </c>
      <c r="B13" s="2">
        <v>25000.0</v>
      </c>
    </row>
    <row r="14" ht="15.75" customHeight="1">
      <c r="B14" s="1">
        <v>4.0</v>
      </c>
    </row>
    <row r="15" ht="15.75" customHeight="1">
      <c r="B15" t="s">
        <v>14</v>
      </c>
      <c r="C15" t="s">
        <v>14</v>
      </c>
      <c r="D15" t="s">
        <v>15</v>
      </c>
      <c r="L15" s="1">
        <v>8.0</v>
      </c>
    </row>
    <row r="16" ht="15.75" customHeight="1">
      <c r="B16" s="1">
        <v>26156.0</v>
      </c>
      <c r="C16">
        <f>sum(C3:C14)</f>
        <v>1750</v>
      </c>
      <c r="D16" s="1" t="s">
        <v>20</v>
      </c>
    </row>
    <row r="17" ht="15.75" customHeight="1">
      <c r="A17" s="1" t="s">
        <v>21</v>
      </c>
    </row>
    <row r="18" ht="15.75" customHeight="1">
      <c r="A18" s="1" t="s">
        <v>22</v>
      </c>
    </row>
    <row r="19" ht="15.75" customHeight="1">
      <c r="A19" s="1" t="s">
        <v>23</v>
      </c>
    </row>
    <row r="20" ht="15.75" customHeight="1">
      <c r="A20" s="1" t="s">
        <v>24</v>
      </c>
    </row>
    <row r="21" ht="15.75" customHeight="1">
      <c r="A21" s="1" t="s">
        <v>25</v>
      </c>
    </row>
    <row r="22" ht="15.75" customHeight="1">
      <c r="A22" s="1" t="s">
        <v>26</v>
      </c>
    </row>
    <row r="23" ht="15.75" customHeight="1">
      <c r="A23" s="3">
        <v>255.63</v>
      </c>
    </row>
    <row r="24" ht="15.75" customHeight="1">
      <c r="A24" s="1" t="s">
        <v>27</v>
      </c>
    </row>
    <row r="25" ht="15.75" customHeight="1">
      <c r="A25" s="1" t="s">
        <v>28</v>
      </c>
    </row>
    <row r="26" ht="15.75" customHeight="1">
      <c r="A26" s="1" t="s">
        <v>29</v>
      </c>
    </row>
    <row r="27" ht="15.75" customHeight="1">
      <c r="A27" s="1" t="s">
        <v>30</v>
      </c>
    </row>
    <row r="28" ht="15.75" customHeight="1">
      <c r="A28" s="2" t="s">
        <v>31</v>
      </c>
    </row>
    <row r="29" ht="15.75" customHeight="1">
      <c r="A29" s="1" t="s">
        <v>32</v>
      </c>
    </row>
    <row r="30" ht="15.75" customHeight="1">
      <c r="A30" s="1" t="s">
        <v>33</v>
      </c>
    </row>
    <row r="31" ht="15.75" customHeight="1">
      <c r="A31" s="1" t="s">
        <v>34</v>
      </c>
    </row>
    <row r="32" ht="15.75" customHeight="1">
      <c r="A32" s="2">
        <v>3500.0</v>
      </c>
    </row>
    <row r="33" ht="15.75" customHeight="1">
      <c r="A33" s="1" t="s">
        <v>35</v>
      </c>
    </row>
    <row r="34" ht="15.75" customHeight="1">
      <c r="A34" s="1" t="s">
        <v>36</v>
      </c>
    </row>
    <row r="35" ht="15.75" customHeight="1">
      <c r="A35" s="1" t="s">
        <v>37</v>
      </c>
    </row>
    <row r="36" ht="15.75" customHeight="1"/>
    <row r="37" ht="15.75" customHeight="1"/>
    <row r="38" ht="15.75" customHeight="1">
      <c r="A38" s="1" t="s">
        <v>38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16</v>
      </c>
      <c r="B1" t="s">
        <v>0</v>
      </c>
      <c r="C1" t="s">
        <v>1</v>
      </c>
    </row>
    <row r="2" ht="15.75" customHeight="1">
      <c r="A2" t="s">
        <v>39</v>
      </c>
      <c r="B2" s="1">
        <v>919.0</v>
      </c>
    </row>
    <row r="3" ht="15.75" customHeight="1">
      <c r="A3" t="s">
        <v>3</v>
      </c>
      <c r="B3" s="1">
        <v>65.64</v>
      </c>
    </row>
    <row r="4" ht="15.75" customHeight="1">
      <c r="A4" t="s">
        <v>4</v>
      </c>
      <c r="B4" s="1">
        <v>59.81</v>
      </c>
    </row>
    <row r="5" ht="15.75" customHeight="1"/>
    <row r="6" ht="15.75" customHeight="1">
      <c r="A6" t="s">
        <v>6</v>
      </c>
      <c r="B6" s="1">
        <v>50.0</v>
      </c>
    </row>
    <row r="7" ht="15.75" customHeight="1">
      <c r="A7" t="s">
        <v>7</v>
      </c>
    </row>
    <row r="8" ht="15.75" customHeight="1">
      <c r="A8" t="s">
        <v>8</v>
      </c>
      <c r="C8" s="1">
        <v>2350.0</v>
      </c>
    </row>
    <row r="9" ht="15.75" customHeight="1">
      <c r="A9" t="s">
        <v>9</v>
      </c>
    </row>
    <row r="10" ht="15.75" customHeight="1">
      <c r="A10" t="s">
        <v>10</v>
      </c>
    </row>
    <row r="11" ht="15.75" customHeight="1">
      <c r="A11" t="s">
        <v>11</v>
      </c>
    </row>
    <row r="12" ht="15.75" customHeight="1">
      <c r="A12" t="s">
        <v>12</v>
      </c>
    </row>
    <row r="13" ht="15.75" customHeight="1">
      <c r="A13" t="s">
        <v>40</v>
      </c>
      <c r="B13" s="1">
        <v>136.0</v>
      </c>
    </row>
    <row r="14" ht="15.75" customHeight="1">
      <c r="B14" t="s">
        <v>14</v>
      </c>
      <c r="C14" t="s">
        <v>14</v>
      </c>
      <c r="D14" t="s">
        <v>15</v>
      </c>
    </row>
    <row r="15" ht="15.75" customHeight="1">
      <c r="B15">
        <f t="shared" ref="B15:C15" si="1">sum(B2:B13)</f>
        <v>1230.45</v>
      </c>
      <c r="C15">
        <f t="shared" si="1"/>
        <v>2350</v>
      </c>
      <c r="D15">
        <f>C15-B15</f>
        <v>1119.55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16</v>
      </c>
      <c r="B1" t="s">
        <v>0</v>
      </c>
      <c r="C1" t="s">
        <v>1</v>
      </c>
    </row>
    <row r="2" ht="15.75" customHeight="1">
      <c r="A2" t="s">
        <v>39</v>
      </c>
    </row>
    <row r="3" ht="15.75" customHeight="1">
      <c r="A3" t="s">
        <v>3</v>
      </c>
      <c r="B3" s="1">
        <v>98.88</v>
      </c>
    </row>
    <row r="4" ht="15.75" customHeight="1">
      <c r="A4" s="1" t="s">
        <v>41</v>
      </c>
      <c r="B4" s="1">
        <v>123.97</v>
      </c>
    </row>
    <row r="5" ht="15.75" customHeight="1">
      <c r="A5" s="1" t="s">
        <v>42</v>
      </c>
      <c r="B5" s="1">
        <v>44.09</v>
      </c>
    </row>
    <row r="6" ht="15.75" customHeight="1">
      <c r="A6" t="s">
        <v>6</v>
      </c>
      <c r="B6" s="1">
        <v>50.0</v>
      </c>
    </row>
    <row r="7" ht="15.75" customHeight="1">
      <c r="A7" t="s">
        <v>7</v>
      </c>
    </row>
    <row r="8" ht="15.75" customHeight="1">
      <c r="A8" t="s">
        <v>8</v>
      </c>
      <c r="C8" s="1">
        <v>1950.0</v>
      </c>
    </row>
    <row r="9" ht="15.75" customHeight="1">
      <c r="A9" t="s">
        <v>9</v>
      </c>
    </row>
    <row r="10" ht="15.75" customHeight="1">
      <c r="A10" t="s">
        <v>10</v>
      </c>
    </row>
    <row r="11" ht="15.75" customHeight="1">
      <c r="A11" t="s">
        <v>11</v>
      </c>
    </row>
    <row r="12" ht="15.75" customHeight="1">
      <c r="A12" t="s">
        <v>12</v>
      </c>
    </row>
    <row r="13" ht="15.75" customHeight="1">
      <c r="A13" t="s">
        <v>40</v>
      </c>
    </row>
    <row r="14" ht="15.75" customHeight="1">
      <c r="B14" t="s">
        <v>14</v>
      </c>
      <c r="C14" t="s">
        <v>14</v>
      </c>
      <c r="D14" t="s">
        <v>15</v>
      </c>
    </row>
    <row r="15" ht="15.75" customHeight="1">
      <c r="B15" s="1">
        <v>316.94</v>
      </c>
      <c r="C15">
        <f>sum(C2:C13)</f>
        <v>1950</v>
      </c>
      <c r="D15">
        <f>C15-B15</f>
        <v>1633.06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B1" t="s">
        <v>0</v>
      </c>
      <c r="C1" t="s">
        <v>1</v>
      </c>
    </row>
    <row r="2" ht="15.75" customHeight="1">
      <c r="A2" t="s">
        <v>39</v>
      </c>
    </row>
    <row r="3" ht="15.75" customHeight="1">
      <c r="A3" t="s">
        <v>3</v>
      </c>
    </row>
    <row r="4" ht="15.75" customHeight="1">
      <c r="A4" t="s">
        <v>4</v>
      </c>
      <c r="B4" s="1">
        <v>125.02</v>
      </c>
    </row>
    <row r="5" ht="15.75" customHeight="1"/>
    <row r="6" ht="15.75" customHeight="1">
      <c r="A6" t="s">
        <v>6</v>
      </c>
      <c r="B6" s="1">
        <v>50.0</v>
      </c>
    </row>
    <row r="7" ht="15.75" customHeight="1">
      <c r="A7" t="s">
        <v>7</v>
      </c>
    </row>
    <row r="8" ht="15.75" customHeight="1">
      <c r="A8" t="s">
        <v>8</v>
      </c>
      <c r="C8" s="1">
        <v>1750.0</v>
      </c>
    </row>
    <row r="9" ht="15.75" customHeight="1">
      <c r="A9" t="s">
        <v>9</v>
      </c>
    </row>
    <row r="10" ht="15.75" customHeight="1">
      <c r="A10" t="s">
        <v>10</v>
      </c>
    </row>
    <row r="11" ht="15.75" customHeight="1">
      <c r="A11" t="s">
        <v>11</v>
      </c>
    </row>
    <row r="12" ht="15.75" customHeight="1">
      <c r="A12" t="s">
        <v>12</v>
      </c>
    </row>
    <row r="13" ht="15.75" customHeight="1">
      <c r="A13" t="s">
        <v>40</v>
      </c>
      <c r="B13" s="1">
        <v>350.0</v>
      </c>
    </row>
    <row r="14" ht="15.75" customHeight="1">
      <c r="B14" t="s">
        <v>14</v>
      </c>
      <c r="C14" t="s">
        <v>14</v>
      </c>
      <c r="D14" t="s">
        <v>15</v>
      </c>
    </row>
    <row r="15" ht="15.75" customHeight="1">
      <c r="B15">
        <f t="shared" ref="B15:C15" si="1">sum(B2:B13)</f>
        <v>525.02</v>
      </c>
      <c r="C15">
        <f t="shared" si="1"/>
        <v>1750</v>
      </c>
      <c r="D15">
        <f>C15-B15</f>
        <v>1224.98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16</v>
      </c>
      <c r="B1" t="s">
        <v>0</v>
      </c>
      <c r="C1" t="s">
        <v>1</v>
      </c>
    </row>
    <row r="2" ht="15.75" customHeight="1"/>
    <row r="3" ht="15.75" customHeight="1">
      <c r="B3" t="s">
        <v>14</v>
      </c>
      <c r="C3" t="s">
        <v>14</v>
      </c>
      <c r="D3" t="s">
        <v>15</v>
      </c>
    </row>
    <row r="4" ht="15.75" customHeight="1">
      <c r="B4">
        <f>sum('260 East Taylors Crossing'!B15+'5525 Taylor Road'!B16+'4645 valais ct'!B15+'1120 Lauren way'!B15+'115 Peachtree Memorial Drive'!B15)</f>
        <v>28600.98</v>
      </c>
      <c r="C4">
        <f>sum('260 East Taylors Crossing'!C15+'5525 Taylor Road'!C16+'4645 valais ct'!C15+'1120 Lauren way'!C15+'115 Peachtree Memorial Drive'!C15)</f>
        <v>11850</v>
      </c>
      <c r="D4" t="str">
        <f>sum('260 East Taylors Crossing'!D15+'5525 Taylor Road'!D16+'4645 valais ct'!D15+'1120 Lauren way'!D15+'115 Peachtree Memorial Drive'!D15)</f>
        <v>#VALUE!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