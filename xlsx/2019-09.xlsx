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<sst xmlns="http://schemas.openxmlformats.org/spreadsheetml/2006/main" count="98" uniqueCount="30">
  <si>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</si>
  <si>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</si>
  <si>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</si>
  <si>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</si>
  <si>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</si>
  <si>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</si>
  <si>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</si>
  <si>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</si>
  <si>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</si>
  <si>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</si>
  <si>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</si>
  <si>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</si>
  <si>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</si>
  <si>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</si>
  <si>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WM</t>
  </si>
  <si>
    <t>Total</t>
  </si>
  <si>
    <t>Net</t>
  </si>
  <si>
    <t xml:space="preserve">water bill from </t>
  </si>
  <si>
    <t xml:space="preserve">7/11 to 9/10 </t>
  </si>
  <si>
    <t>WM oct to dec</t>
  </si>
  <si>
    <t>water 7/11 to 9/10</t>
  </si>
  <si>
    <t>newgaragedoorslabour                  900</t>
  </si>
  <si>
    <t>push mower $90</t>
  </si>
  <si>
    <t>seal deckpaint 107.75</t>
  </si>
  <si>
    <t xml:space="preserve">2 new garage doors </t>
  </si>
  <si>
    <t>$555 plus $300 labour</t>
  </si>
  <si>
    <t>mortgage</t>
  </si>
  <si>
    <t>hoa</t>
  </si>
  <si>
    <t>cobb water</t>
  </si>
  <si>
    <t>pool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</si>
</sst>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151.67</v>
      </c>
    </row>
    <row r="3" ht="15.75" customHeight="1">
      <c r="A3" t="s">
        <v>4</v>
      </c>
      <c r="B3" s="1">
        <v>40.77</v>
      </c>
    </row>
    <row r="4" ht="15.75" customHeight="1">
      <c r="A4" t="s">
        <v>5</v>
      </c>
      <c r="B4" s="1">
        <v>137.41</v>
      </c>
    </row>
    <row r="5" ht="15.75" customHeight="1">
      <c r="A5" t="s">
        <v>6</v>
      </c>
    </row>
    <row r="6" ht="15.75" customHeight="1">
      <c r="A6" t="s">
        <v>7</v>
      </c>
      <c r="B6" s="1">
        <v>96.68</v>
      </c>
    </row>
    <row r="7" ht="15.75" customHeight="1">
      <c r="A7" t="s">
        <v>8</v>
      </c>
    </row>
    <row r="8" ht="15.75" customHeight="1">
      <c r="A8" t="s">
        <v>9</v>
      </c>
      <c r="C8" s="1">
        <v>4250.0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  <c r="B13" s="1">
        <v>75.24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501.77</v>
      </c>
      <c r="C15">
        <f>sum(C2:C13)</f>
        <v>4250</v>
      </c>
      <c r="D15">
        <f>C15-B15</f>
        <v>3748.23</v>
      </c>
    </row>
    <row r="16" ht="15.75" customHeight="1"/>
    <row r="17" ht="15.75" customHeight="1"/>
    <row r="18" ht="15.75" customHeight="1">
      <c r="A18" s="1" t="s">
        <v>17</v>
      </c>
    </row>
    <row r="19" ht="15.75" customHeight="1">
      <c r="A19" s="1" t="s">
        <v>18</v>
      </c>
    </row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19</v>
      </c>
      <c r="B2" s="3">
        <v>53.72</v>
      </c>
    </row>
    <row r="3" ht="15.75" customHeight="1">
      <c r="A3" t="s">
        <v>4</v>
      </c>
      <c r="B3" s="1">
        <v>37.97</v>
      </c>
    </row>
    <row r="4" ht="15.75" customHeight="1">
      <c r="A4" t="s">
        <v>5</v>
      </c>
      <c r="B4" s="1">
        <v>185.93</v>
      </c>
    </row>
    <row r="5" ht="15.75" customHeight="1">
      <c r="A5" s="1" t="s">
        <v>20</v>
      </c>
      <c r="B5" s="1">
        <v>113.65</v>
      </c>
    </row>
    <row r="6" ht="15.75" customHeight="1">
      <c r="A6" t="s">
        <v>7</v>
      </c>
      <c r="B6" s="1">
        <v>217.09</v>
      </c>
    </row>
    <row r="7" ht="15.75" customHeight="1">
      <c r="A7" t="s">
        <v>8</v>
      </c>
    </row>
    <row r="8" ht="15.75" customHeight="1">
      <c r="A8" t="s">
        <v>9</v>
      </c>
      <c r="C8" s="1">
        <v>2625.0</v>
      </c>
    </row>
    <row r="9" ht="15.75" customHeight="1">
      <c r="A9" t="s">
        <v>10</v>
      </c>
      <c r="B9" s="1">
        <v>107.75</v>
      </c>
    </row>
    <row r="10" ht="15.75" customHeight="1">
      <c r="A10" t="s">
        <v>11</v>
      </c>
      <c r="B10" s="1">
        <v>90.0</v>
      </c>
    </row>
    <row r="11" ht="15.75" customHeight="1">
      <c r="A11" t="s">
        <v>12</v>
      </c>
    </row>
    <row r="12" ht="15.75" customHeight="1">
      <c r="A12" s="1" t="s">
        <v>21</v>
      </c>
      <c r="B12" s="1">
        <v>900.0</v>
      </c>
    </row>
    <row r="13" ht="15.75" customHeight="1"/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1601.12</v>
      </c>
      <c r="C16">
        <f>sum(C3:C14)</f>
        <v>2625</v>
      </c>
      <c r="D16">
        <f>C16-B16</f>
        <v>1023.88</v>
      </c>
    </row>
    <row r="17" ht="15.75" customHeight="1"/>
    <row r="18" ht="15.75" customHeight="1">
      <c r="A18" s="1" t="s">
        <v>22</v>
      </c>
    </row>
    <row r="19" ht="15.75" customHeight="1">
      <c r="A19" s="1" t="s">
        <v>23</v>
      </c>
    </row>
    <row r="20" ht="15.75" customHeight="1">
      <c r="A20" s="1" t="s">
        <v>24</v>
      </c>
    </row>
    <row r="21" ht="15.75" customHeight="1">
      <c r="A21" s="1" t="s">
        <v>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26</v>
      </c>
      <c r="B2" s="1">
        <v>950.0</v>
      </c>
    </row>
    <row r="3" ht="15.75" customHeight="1">
      <c r="A3" t="s">
        <v>4</v>
      </c>
      <c r="B3" s="1">
        <v>35.36</v>
      </c>
    </row>
    <row r="4" ht="15.75" customHeight="1">
      <c r="A4" t="s">
        <v>5</v>
      </c>
      <c r="B4" s="1">
        <v>116.49</v>
      </c>
    </row>
    <row r="5" ht="15.75" customHeight="1"/>
    <row r="6" ht="15.75" customHeight="1">
      <c r="A6" t="s">
        <v>7</v>
      </c>
      <c r="B6" s="1">
        <v>102.1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27</v>
      </c>
      <c r="B13" s="1">
        <v>136.0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1339.95</v>
      </c>
      <c r="C15">
        <f t="shared" si="1"/>
        <v>2350</v>
      </c>
      <c r="D15">
        <f>C15-B15</f>
        <v>1010.05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26</v>
      </c>
    </row>
    <row r="3" ht="15.75" customHeight="1">
      <c r="A3" t="s">
        <v>4</v>
      </c>
      <c r="B3" s="1">
        <v>42.53</v>
      </c>
    </row>
    <row r="4" ht="15.75" customHeight="1">
      <c r="A4" t="s">
        <v>5</v>
      </c>
      <c r="B4" s="1">
        <v>436.22</v>
      </c>
    </row>
    <row r="5" ht="15.75" customHeight="1">
      <c r="A5" s="1" t="s">
        <v>28</v>
      </c>
      <c r="B5" s="1">
        <v>96.64</v>
      </c>
    </row>
    <row r="6" ht="15.75" customHeight="1">
      <c r="A6" t="s">
        <v>7</v>
      </c>
      <c r="B6" s="1">
        <v>102.1</v>
      </c>
    </row>
    <row r="7" ht="15.75" customHeight="1">
      <c r="A7" t="s">
        <v>8</v>
      </c>
      <c r="B7" s="1">
        <v>90.0</v>
      </c>
    </row>
    <row r="8" ht="15.75" customHeight="1">
      <c r="A8" t="s">
        <v>9</v>
      </c>
      <c r="C8" s="1">
        <v>1763.0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  <c r="B12" s="1">
        <v>65.0</v>
      </c>
    </row>
    <row r="13" ht="15.75" customHeight="1">
      <c r="A13" s="1" t="s">
        <v>29</v>
      </c>
      <c r="B13" s="1">
        <v>175.5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911.35</v>
      </c>
      <c r="C15">
        <f>sum(C2:C13)</f>
        <v>1763</v>
      </c>
      <c r="D15">
        <f>C15-B15</f>
        <v>851.65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26</v>
      </c>
    </row>
    <row r="3" ht="15.75" customHeight="1">
      <c r="A3" t="s">
        <v>4</v>
      </c>
    </row>
    <row r="4" ht="15.75" customHeight="1">
      <c r="A4" t="s">
        <v>5</v>
      </c>
      <c r="B4" s="1">
        <v>88.32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1800.0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27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488.32</v>
      </c>
      <c r="C15">
        <f t="shared" si="1"/>
        <v>1800</v>
      </c>
      <c r="D15">
        <f>C15-B15</f>
        <v>1311.68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4842.51</v>
      </c>
      <c r="C4">
        <f>sum('260 East Taylors Crossing'!C15+'5525 Taylor Road'!C16+'4645 valais ct'!C15+'1120 Lauren way'!C15+'115 Peachtree Memorial Drive'!C15)</f>
        <v>12788</v>
      </c>
      <c r="D4">
        <f>sum('260 East Taylors Crossing'!D15+'5525 Taylor Road'!D16+'4645 valais ct'!D15+'1120 Lauren way'!D15+'115 Peachtree Memorial Drive'!D15)</f>
        <v>7945.49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