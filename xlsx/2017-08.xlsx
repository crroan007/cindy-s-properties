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Valais Court" sheetId="3" r:id="rId6"/>
    <sheet state="visible" name="1120 Lauren Way" sheetId="4" r:id="rId7"/>
    <sheet state="visible" name="Totals" sheetId="5" r:id="rId8"/>
  </sheets>
  <definedNames/>
  <calcPr/>
</workbook>
</file>

<file path=xl/sharedStrings.xml><?xml version="1.0" encoding="utf-8"?>
<sst xmlns="http://schemas.openxmlformats.org/spreadsheetml/2006/main" count="76" uniqueCount="18">
  <si>
    <t>Line Item</t>
  </si>
  <si>
    <t>Debits</t>
  </si>
  <si>
    <t>Credits</t>
  </si>
  <si>
    <t>water/sewer</t>
  </si>
  <si>
    <t>Gas</t>
  </si>
  <si>
    <t>Electricity</t>
  </si>
  <si>
    <t>home insurance</t>
  </si>
  <si>
    <t>internet/cable</t>
  </si>
  <si>
    <t>Lawn Care</t>
  </si>
  <si>
    <t xml:space="preserve">rental income </t>
  </si>
  <si>
    <t>Repairs and Design</t>
  </si>
  <si>
    <t>Home Goods</t>
  </si>
  <si>
    <t>Cleaning and Supplies</t>
  </si>
  <si>
    <t xml:space="preserve">pest control </t>
  </si>
  <si>
    <t>Total</t>
  </si>
  <si>
    <t>Net</t>
  </si>
  <si>
    <t>hoa</t>
  </si>
  <si>
    <t>mortgage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</si>
</sst>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88.14</v>
      </c>
    </row>
    <row r="3">
      <c r="A3" s="1" t="s">
        <v>4</v>
      </c>
      <c r="B3" s="1">
        <v>40.44</v>
      </c>
    </row>
    <row r="4">
      <c r="A4" s="1" t="s">
        <v>5</v>
      </c>
      <c r="B4" s="1">
        <v>188.62</v>
      </c>
    </row>
    <row r="5">
      <c r="A5" s="1" t="s">
        <v>6</v>
      </c>
      <c r="B5" s="1"/>
    </row>
    <row r="6">
      <c r="A6" s="1" t="s">
        <v>7</v>
      </c>
      <c r="B6" s="1">
        <v>79.95</v>
      </c>
    </row>
    <row r="7">
      <c r="A7" s="1" t="s">
        <v>8</v>
      </c>
    </row>
    <row r="8">
      <c r="A8" s="1" t="s">
        <v>9</v>
      </c>
      <c r="C8" s="1">
        <v>3025.0</v>
      </c>
    </row>
    <row r="9">
      <c r="A9" s="1" t="s">
        <v>10</v>
      </c>
      <c r="B9" s="1">
        <v>40.0</v>
      </c>
    </row>
    <row r="10">
      <c r="A10" s="1" t="s">
        <v>11</v>
      </c>
    </row>
    <row r="11">
      <c r="A11" s="1" t="s">
        <v>12</v>
      </c>
      <c r="B11" s="1">
        <v>32.0</v>
      </c>
    </row>
    <row r="12">
      <c r="A12" s="1" t="s">
        <v>13</v>
      </c>
    </row>
    <row r="13">
      <c r="A13" s="1" t="s">
        <v>3</v>
      </c>
      <c r="B13" s="1">
        <v>88.14</v>
      </c>
    </row>
    <row r="14">
      <c r="B14" s="1" t="s">
        <v>14</v>
      </c>
      <c r="C14" s="1" t="s">
        <v>14</v>
      </c>
      <c r="D14" s="1" t="s">
        <v>15</v>
      </c>
    </row>
    <row r="15">
      <c r="B15" s="1">
        <f t="shared" ref="B15:C15" si="1">sum(B2:B13)</f>
        <v>557.29</v>
      </c>
      <c r="C15" s="1">
        <f t="shared" si="1"/>
        <v>3025</v>
      </c>
      <c r="D15" s="1">
        <f t="shared" ref="D15:D16" si="2">C15-B15</f>
        <v>2467.71</v>
      </c>
    </row>
    <row r="16">
      <c r="D16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124.81</v>
      </c>
    </row>
    <row r="3">
      <c r="A3" s="1" t="s">
        <v>4</v>
      </c>
      <c r="B3" s="1">
        <v>37.01</v>
      </c>
    </row>
    <row r="4">
      <c r="A4" s="1" t="s">
        <v>5</v>
      </c>
      <c r="B4" s="1">
        <v>235.89</v>
      </c>
    </row>
    <row r="5">
      <c r="A5" s="1" t="s">
        <v>6</v>
      </c>
      <c r="B5" s="1">
        <v>86.2</v>
      </c>
    </row>
    <row r="6">
      <c r="A6" s="1" t="s">
        <v>7</v>
      </c>
      <c r="B6" s="1">
        <v>171.09</v>
      </c>
    </row>
    <row r="7">
      <c r="A7" s="1" t="s">
        <v>8</v>
      </c>
    </row>
    <row r="8">
      <c r="A8" s="1" t="s">
        <v>9</v>
      </c>
      <c r="C8" s="1">
        <v>1740.0</v>
      </c>
    </row>
    <row r="9">
      <c r="A9" s="1" t="s">
        <v>10</v>
      </c>
      <c r="B9" s="1"/>
    </row>
    <row r="10">
      <c r="A10" s="1" t="s">
        <v>11</v>
      </c>
    </row>
    <row r="11">
      <c r="A11" s="1" t="s">
        <v>12</v>
      </c>
      <c r="B11" s="1"/>
    </row>
    <row r="12">
      <c r="A12" s="1" t="s">
        <v>13</v>
      </c>
      <c r="B12" s="1"/>
    </row>
    <row r="13">
      <c r="A13" s="1" t="s">
        <v>16</v>
      </c>
    </row>
    <row r="14">
      <c r="A14" s="1"/>
    </row>
    <row r="15">
      <c r="B15" s="1" t="s">
        <v>14</v>
      </c>
      <c r="C15" s="1" t="s">
        <v>14</v>
      </c>
      <c r="D15" s="1" t="s">
        <v>15</v>
      </c>
    </row>
    <row r="16">
      <c r="B16" s="1">
        <f t="shared" ref="B16:C16" si="1">sum(B3:B14)</f>
        <v>530.19</v>
      </c>
      <c r="C16" s="1">
        <f t="shared" si="1"/>
        <v>1740</v>
      </c>
      <c r="D16" s="1">
        <f t="shared" ref="D16:D17" si="2">C16-B16</f>
        <v>1209.81</v>
      </c>
    </row>
    <row r="17">
      <c r="D17">
        <f t="shared" si="2"/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17</v>
      </c>
      <c r="B2" s="1">
        <v>819.0</v>
      </c>
    </row>
    <row r="3">
      <c r="A3" s="1" t="s">
        <v>4</v>
      </c>
      <c r="B3" s="1">
        <v>37.32</v>
      </c>
    </row>
    <row r="4">
      <c r="A4" s="1" t="s">
        <v>5</v>
      </c>
      <c r="B4" s="1">
        <v>99.88</v>
      </c>
    </row>
    <row r="5">
      <c r="A5" s="1"/>
    </row>
    <row r="6">
      <c r="A6" s="1" t="s">
        <v>7</v>
      </c>
      <c r="B6" s="1">
        <v>79.95</v>
      </c>
      <c r="C6" s="1"/>
    </row>
    <row r="7">
      <c r="A7" s="1" t="s">
        <v>8</v>
      </c>
    </row>
    <row r="8">
      <c r="A8" s="1" t="s">
        <v>9</v>
      </c>
      <c r="C8" s="1">
        <v>1081.0</v>
      </c>
    </row>
    <row r="9">
      <c r="A9" s="1" t="s">
        <v>10</v>
      </c>
      <c r="B9" s="1"/>
    </row>
    <row r="10">
      <c r="A10" s="1" t="s">
        <v>11</v>
      </c>
    </row>
    <row r="11">
      <c r="A11" s="1" t="s">
        <v>12</v>
      </c>
      <c r="B11" s="1"/>
    </row>
    <row r="12">
      <c r="A12" s="1" t="s">
        <v>13</v>
      </c>
      <c r="B12" s="1"/>
    </row>
    <row r="13">
      <c r="A13" s="1" t="s">
        <v>16</v>
      </c>
      <c r="B13" s="1">
        <v>125.0</v>
      </c>
    </row>
    <row r="14">
      <c r="B14" s="1" t="s">
        <v>14</v>
      </c>
      <c r="C14" s="1" t="s">
        <v>14</v>
      </c>
      <c r="D14" s="1" t="s">
        <v>15</v>
      </c>
    </row>
    <row r="15">
      <c r="B15" s="1">
        <f t="shared" ref="B15:C15" si="1">sum(B2:B13)</f>
        <v>1161.15</v>
      </c>
      <c r="C15" s="1">
        <f t="shared" si="1"/>
        <v>1081</v>
      </c>
      <c r="D15" s="1">
        <f>C15-B15</f>
        <v>-80.15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17</v>
      </c>
      <c r="B2" s="1"/>
    </row>
    <row r="3">
      <c r="A3" s="1" t="s">
        <v>4</v>
      </c>
      <c r="B3" s="1"/>
    </row>
    <row r="4">
      <c r="A4" s="1" t="s">
        <v>5</v>
      </c>
      <c r="B4" s="1"/>
    </row>
    <row r="5">
      <c r="A5" s="1"/>
    </row>
    <row r="6">
      <c r="A6" s="1" t="s">
        <v>7</v>
      </c>
      <c r="B6" s="1"/>
      <c r="C6" s="1"/>
    </row>
    <row r="7">
      <c r="A7" s="1" t="s">
        <v>8</v>
      </c>
    </row>
    <row r="8">
      <c r="A8" s="1" t="s">
        <v>9</v>
      </c>
      <c r="C8" s="1"/>
    </row>
    <row r="9">
      <c r="A9" s="1" t="s">
        <v>10</v>
      </c>
      <c r="B9" s="1"/>
    </row>
    <row r="10">
      <c r="A10" s="1" t="s">
        <v>11</v>
      </c>
    </row>
    <row r="11">
      <c r="A11" s="1" t="s">
        <v>12</v>
      </c>
      <c r="B11" s="1"/>
    </row>
    <row r="12">
      <c r="A12" s="1" t="s">
        <v>13</v>
      </c>
      <c r="B12" s="1"/>
    </row>
    <row r="13">
      <c r="A13" s="1" t="s">
        <v>16</v>
      </c>
      <c r="B13" s="1"/>
    </row>
    <row r="14">
      <c r="B14" s="1" t="s">
        <v>14</v>
      </c>
      <c r="C14" s="1" t="s">
        <v>14</v>
      </c>
      <c r="D14" s="1" t="s">
        <v>15</v>
      </c>
    </row>
    <row r="15">
      <c r="B15" s="1">
        <f t="shared" ref="B15:C15" si="1">sum(B2:B13)</f>
        <v>0</v>
      </c>
      <c r="C15" s="1">
        <f t="shared" si="1"/>
        <v>0</v>
      </c>
      <c r="D15" s="1">
        <f>C15-B15</f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B2" s="1"/>
      <c r="C2" s="1"/>
      <c r="D2" s="1"/>
    </row>
    <row r="3">
      <c r="B3" s="1" t="s">
        <v>14</v>
      </c>
      <c r="C3" s="1" t="s">
        <v>14</v>
      </c>
      <c r="D3" s="1" t="s">
        <v>15</v>
      </c>
    </row>
    <row r="4">
      <c r="B4">
        <f>sum('260 East Taylors Crossing'!B15+'5525 Taylor Road'!B16+'4645 Valais Court'!B15+'1120 Lauren Way'!B15)</f>
        <v>2248.63</v>
      </c>
      <c r="C4">
        <f>sum('260 East Taylors Crossing'!C15+'5525 Taylor Road'!C16+'4645 Valais Court'!C15+'1120 Lauren Way'!C15)</f>
        <v>5846</v>
      </c>
      <c r="D4">
        <f>C4-B4</f>
        <v>3597.37</v>
      </c>
    </row>
  </sheetData>
  <drawing r:id="rId1"/>
</worksheet>
</file>