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<sst xmlns="http://schemas.openxmlformats.org/spreadsheetml/2006/main" count="88" uniqueCount="24">
  <si>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</si>
  <si>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</si>
  <si>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</si>
  <si>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</si>
  <si>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</si>
  <si>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</si>
  <si>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</si>
  <si>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</si>
  <si>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</si>
  <si>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</si>
  <si>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</si>
  <si>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</si>
  <si>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</si>
  <si>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</si>
  <si>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Total</t>
  </si>
  <si>
    <t>Net</t>
  </si>
  <si>
    <t>waste management</t>
  </si>
  <si>
    <t xml:space="preserve">water jan to march </t>
  </si>
  <si>
    <t>william</t>
  </si>
  <si>
    <t>mortgage</t>
  </si>
  <si>
    <t>hoa</t>
  </si>
  <si>
    <t>pool services</t>
  </si>
  <si>
    <t>Electricity/trash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</si>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</sst>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168.83</v>
      </c>
    </row>
    <row r="3" ht="15.75" customHeight="1">
      <c r="A3" t="s">
        <v>4</v>
      </c>
      <c r="B3" s="1">
        <v>41.19</v>
      </c>
    </row>
    <row r="4" ht="15.75" customHeight="1">
      <c r="A4" t="s">
        <v>5</v>
      </c>
      <c r="B4" s="1">
        <v>222.89</v>
      </c>
    </row>
    <row r="5" ht="15.75" customHeight="1">
      <c r="A5" t="s">
        <v>6</v>
      </c>
    </row>
    <row r="6" ht="15.75" customHeight="1">
      <c r="A6" t="s">
        <v>7</v>
      </c>
      <c r="B6" s="1">
        <v>96.68</v>
      </c>
    </row>
    <row r="7" ht="15.75" customHeight="1">
      <c r="A7" t="s">
        <v>8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/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529.59</v>
      </c>
      <c r="C15">
        <f t="shared" si="1"/>
        <v>4250</v>
      </c>
      <c r="D15">
        <f>C15-B15</f>
        <v>3720.41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16</v>
      </c>
      <c r="B2" s="3"/>
    </row>
    <row r="3" ht="15.75" customHeight="1">
      <c r="A3" t="s">
        <v>4</v>
      </c>
      <c r="B3" s="1">
        <v>36.1</v>
      </c>
    </row>
    <row r="4" ht="15.75" customHeight="1">
      <c r="A4" t="s">
        <v>5</v>
      </c>
      <c r="B4" s="1">
        <v>249.36</v>
      </c>
    </row>
    <row r="5" ht="15.75" customHeight="1">
      <c r="A5" s="1" t="s">
        <v>17</v>
      </c>
      <c r="B5" s="1">
        <v>119.23</v>
      </c>
    </row>
    <row r="6" ht="15.75" customHeight="1">
      <c r="A6" t="s">
        <v>7</v>
      </c>
      <c r="B6" s="1">
        <v>112.2</v>
      </c>
    </row>
    <row r="7" ht="15.75" customHeight="1">
      <c r="A7" t="s">
        <v>8</v>
      </c>
    </row>
    <row r="8" ht="15.75" customHeight="1">
      <c r="A8" t="s">
        <v>9</v>
      </c>
      <c r="C8" s="1">
        <v>2150.0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18</v>
      </c>
      <c r="B13" s="2">
        <v>100.0</v>
      </c>
    </row>
    <row r="14" ht="15.75" customHeight="1"/>
    <row r="15" ht="15.75" customHeight="1">
      <c r="B15" s="1">
        <v>616.89</v>
      </c>
      <c r="C15" s="1">
        <v>2150.0</v>
      </c>
      <c r="D15" s="1">
        <v>1533.11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950.0</v>
      </c>
    </row>
    <row r="3" ht="15.75" customHeight="1">
      <c r="A3" t="s">
        <v>4</v>
      </c>
      <c r="B3" s="1">
        <v>34.63</v>
      </c>
    </row>
    <row r="4" ht="15.75" customHeight="1">
      <c r="A4" t="s">
        <v>5</v>
      </c>
      <c r="B4" s="1">
        <v>112.79</v>
      </c>
    </row>
    <row r="5" ht="15.75" customHeight="1"/>
    <row r="6" ht="15.75" customHeight="1">
      <c r="A6" t="s">
        <v>7</v>
      </c>
      <c r="B6" s="1">
        <v>96.68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136.0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1330.1</v>
      </c>
      <c r="C15">
        <f t="shared" si="1"/>
        <v>2350</v>
      </c>
      <c r="D15">
        <f>C15-B15</f>
        <v>1019.9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21</v>
      </c>
      <c r="B2" s="1">
        <v>286.5</v>
      </c>
    </row>
    <row r="3" ht="15.75" customHeight="1">
      <c r="A3" t="s">
        <v>4</v>
      </c>
      <c r="B3" s="1">
        <v>41.92</v>
      </c>
    </row>
    <row r="4" ht="15.75" customHeight="1">
      <c r="A4" s="1" t="s">
        <v>22</v>
      </c>
      <c r="B4" s="1">
        <v>448.71</v>
      </c>
    </row>
    <row r="5" ht="15.75" customHeight="1">
      <c r="A5" s="1" t="s">
        <v>23</v>
      </c>
      <c r="B5" s="1">
        <v>65.11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  <c r="B12" s="1">
        <v>290.0</v>
      </c>
    </row>
    <row r="13" ht="15.75" customHeight="1">
      <c r="A13" t="s">
        <v>20</v>
      </c>
    </row>
    <row r="14" ht="15.75" customHeight="1">
      <c r="C14" t="s">
        <v>14</v>
      </c>
      <c r="D14" t="s">
        <v>15</v>
      </c>
    </row>
    <row r="15" ht="15.75" customHeight="1">
      <c r="B15" s="1">
        <v>846.74</v>
      </c>
      <c r="C15">
        <f>sum(C2:C13)</f>
        <v>2350</v>
      </c>
      <c r="D15">
        <f>C15-B15</f>
        <v>1503.26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</row>
    <row r="4" ht="15.75" customHeight="1">
      <c r="A4" t="s">
        <v>5</v>
      </c>
      <c r="B4" s="1">
        <v>100.96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350.0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500.96</v>
      </c>
      <c r="C15">
        <f t="shared" si="1"/>
        <v>1750</v>
      </c>
      <c r="D15">
        <f>C15-B15</f>
        <v>1249.04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14</v>
      </c>
      <c r="C3" t="s">
        <v>14</v>
      </c>
      <c r="D3" t="s">
        <v>15</v>
      </c>
    </row>
    <row r="4" ht="15.75" customHeight="1">
      <c r="B4">
        <f>sum('260 East Taylors Crossing'!B15+'5525 Taylor Road'!B16+'4645 valais ct'!B15+'1120 Lauren way'!B15+'115 Peachtree Memorial Drive'!B15)</f>
        <v>3207.39</v>
      </c>
      <c r="C4">
        <f>sum('260 East Taylors Crossing'!C15+'5525 Taylor Road'!C16+'4645 valais ct'!C15+'1120 Lauren way'!C15+'115 Peachtree Memorial Drive'!C15)</f>
        <v>10700</v>
      </c>
      <c r="D4">
        <f>sum('260 East Taylors Crossing'!D15+'5525 Taylor Road'!D16+'4645 valais ct'!D15+'1120 Lauren way'!D15+'115 Peachtree Memorial Drive'!D15)</f>
        <v>7492.61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