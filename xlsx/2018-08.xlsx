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<sst xmlns="http://schemas.openxmlformats.org/spreadsheetml/2006/main" count="98" uniqueCount="28">
  <si>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</si>
  <si>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</si>
  <si>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</si>
  <si>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</si>
  <si>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</si>
  <si>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</si>
  <si>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</si>
  <si>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</si>
  <si>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</si>
  <si>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</si>
  <si>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</si>
  <si>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</si>
  <si>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</si>
  <si>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</si>
  <si>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</si>
  <si>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</si>
  <si>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</si>
  <si>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mortgage</t>
  </si>
  <si>
    <t>water may jun july</t>
  </si>
  <si>
    <t>desk $50</t>
  </si>
  <si>
    <t>window repair $256</t>
  </si>
  <si>
    <t>paint room $100</t>
  </si>
  <si>
    <t>hoa</t>
  </si>
  <si>
    <t>walmart TV $160</t>
  </si>
  <si>
    <t>cobb water</t>
  </si>
  <si>
    <t>pool service</t>
  </si>
  <si>
    <t>Cameron Aug 26th</t>
  </si>
  <si>
    <t xml:space="preserve">deposit $250 paid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</si>
</sst>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46.04</v>
      </c>
    </row>
    <row r="4" ht="15.75" customHeight="1">
      <c r="A4" t="s">
        <v>5</v>
      </c>
      <c r="B4" s="1">
        <v>265.19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50.0</v>
      </c>
    </row>
    <row r="8" ht="15.75" customHeight="1">
      <c r="A8" t="s">
        <v>9</v>
      </c>
      <c r="C8" s="1">
        <v>3300.0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411.23</v>
      </c>
      <c r="C15">
        <f t="shared" si="1"/>
        <v>3300</v>
      </c>
      <c r="D15">
        <f>C15-B15</f>
        <v>2888.77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</row>
    <row r="3" ht="15.75" customHeight="1">
      <c r="A3" t="s">
        <v>4</v>
      </c>
      <c r="B3" s="1">
        <v>43.75</v>
      </c>
    </row>
    <row r="4" ht="15.75" customHeight="1">
      <c r="A4" t="s">
        <v>5</v>
      </c>
      <c r="B4" s="1">
        <v>192.8</v>
      </c>
    </row>
    <row r="5" ht="15.75" customHeight="1">
      <c r="A5" s="1" t="s">
        <v>18</v>
      </c>
      <c r="B5" s="1">
        <v>84.37</v>
      </c>
    </row>
    <row r="6" ht="15.75" customHeight="1">
      <c r="A6" t="s">
        <v>7</v>
      </c>
      <c r="B6" s="1">
        <v>164.66</v>
      </c>
    </row>
    <row r="7" ht="15.75" customHeight="1">
      <c r="A7" t="s">
        <v>8</v>
      </c>
      <c r="B7" s="1">
        <v>100.0</v>
      </c>
    </row>
    <row r="8" ht="15.75" customHeight="1">
      <c r="A8" t="s">
        <v>9</v>
      </c>
      <c r="C8" s="1">
        <v>2550.0</v>
      </c>
    </row>
    <row r="9" ht="15.75" customHeight="1">
      <c r="A9" t="s">
        <v>10</v>
      </c>
      <c r="B9" s="1">
        <v>356.0</v>
      </c>
    </row>
    <row r="10" ht="15.75" customHeight="1">
      <c r="A10" t="s">
        <v>11</v>
      </c>
      <c r="B10" s="1">
        <v>50.0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/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991.58</v>
      </c>
      <c r="C16">
        <f t="shared" si="1"/>
        <v>2550</v>
      </c>
      <c r="D16">
        <f>C16-B16</f>
        <v>1558.42</v>
      </c>
    </row>
    <row r="17" ht="15.75" customHeight="1"/>
    <row r="18" ht="15.75" customHeight="1">
      <c r="A18" s="1" t="s">
        <v>19</v>
      </c>
    </row>
    <row r="19" ht="15.75" customHeight="1">
      <c r="A19" s="1" t="s">
        <v>20</v>
      </c>
    </row>
    <row r="20" ht="15.75" customHeight="1">
      <c r="A20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  <c r="B2" s="1">
        <v>919.0</v>
      </c>
    </row>
    <row r="3" ht="15.75" customHeight="1">
      <c r="A3" t="s">
        <v>4</v>
      </c>
      <c r="B3" s="1">
        <v>34.71</v>
      </c>
    </row>
    <row r="4" ht="15.75" customHeight="1">
      <c r="A4" t="s">
        <v>5</v>
      </c>
      <c r="B4" s="1">
        <v>114.61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  <c r="B10" s="1">
        <v>160.0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22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1403.32</v>
      </c>
      <c r="C15">
        <f t="shared" si="1"/>
        <v>2350</v>
      </c>
      <c r="D15">
        <f>C15-B15</f>
        <v>946.68</v>
      </c>
    </row>
    <row r="16" ht="15.75" customHeight="1"/>
    <row r="17" ht="15.75" customHeight="1">
      <c r="A17" s="1" t="s">
        <v>23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</row>
    <row r="3" ht="15.75" customHeight="1">
      <c r="A3" t="s">
        <v>4</v>
      </c>
      <c r="B3" s="1">
        <v>42.48</v>
      </c>
    </row>
    <row r="4" ht="15.75" customHeight="1">
      <c r="A4" t="s">
        <v>5</v>
      </c>
      <c r="B4" s="1">
        <v>262.04</v>
      </c>
    </row>
    <row r="5" ht="15.75" customHeight="1">
      <c r="A5" s="1" t="s">
        <v>24</v>
      </c>
      <c r="B5" s="1">
        <v>560.42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1373.0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25</v>
      </c>
      <c r="B13" s="2">
        <v>347.5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1257.43</v>
      </c>
      <c r="C15">
        <f t="shared" si="1"/>
        <v>1373</v>
      </c>
      <c r="D15">
        <f>C15-B15</f>
        <v>115.57</v>
      </c>
    </row>
    <row r="16" ht="15.75" customHeight="1"/>
    <row r="17" ht="15.75" customHeight="1"/>
    <row r="18" ht="15.75" customHeight="1">
      <c r="A18" s="1" t="s">
        <v>26</v>
      </c>
    </row>
    <row r="19" ht="15.75" customHeight="1">
      <c r="A19" s="2">
        <v>500.0</v>
      </c>
    </row>
    <row r="20" ht="15.75" customHeight="1">
      <c r="A20" s="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17</v>
      </c>
    </row>
    <row r="3" ht="15.75" customHeight="1">
      <c r="A3" t="s">
        <v>4</v>
      </c>
    </row>
    <row r="4" ht="15.75" customHeight="1">
      <c r="A4" t="s">
        <v>5</v>
      </c>
      <c r="B4" s="1">
        <v>50.92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1850.0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22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440.92</v>
      </c>
      <c r="C15">
        <f t="shared" si="1"/>
        <v>1850</v>
      </c>
      <c r="D15">
        <f>C15-B15</f>
        <v>1409.08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4504.48</v>
      </c>
      <c r="C4">
        <f>sum('260 East Taylors Crossing'!C15+'5525 Taylor Road'!C16+'4645 valais ct'!C15+'1120 Lauren way'!C15+'115 Peachtree Memorial Drive'!C15)</f>
        <v>11423</v>
      </c>
      <c r="D4">
        <f>sum('260 East Taylors Crossing'!D15+'5525 Taylor Road'!D16+'4645 valais ct'!D15+'1120 Lauren way'!D15+'115 Peachtree Memorial Drive'!D15)</f>
        <v>6918.52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