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<sst xmlns="http://schemas.openxmlformats.org/spreadsheetml/2006/main" count="104" uniqueCount="35">
  <si>
    <t>Line Item</t>
  </si>
  <si>
    <t>Debits</t>
  </si>
  <si>
    <t>Credits</t>
  </si>
  <si>
    <t>water/sewer 3 mths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</si>
  <si>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</si>
  <si>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</si>
  <si>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</si>
  <si>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</si>
  <si>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</si>
  <si>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</si>
  <si>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</si>
  <si>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</si>
  <si>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</si>
  <si>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</si>
  <si>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annual nest subscrip</t>
  </si>
  <si>
    <t>Total</t>
  </si>
  <si>
    <t>Net</t>
  </si>
  <si>
    <t>washer repair $250</t>
  </si>
  <si>
    <t>new a/c $4000</t>
  </si>
  <si>
    <t>RepublictrashNov/dec</t>
  </si>
  <si>
    <t xml:space="preserve">water jan to march </t>
  </si>
  <si>
    <t>hoa</t>
  </si>
  <si>
    <t>new printer $113</t>
  </si>
  <si>
    <t>Renovation siding/paint</t>
  </si>
  <si>
    <t>deck $5000</t>
  </si>
  <si>
    <t>total renovation</t>
  </si>
  <si>
    <t>mortgage</t>
  </si>
  <si>
    <t>Repair dryer $250</t>
  </si>
  <si>
    <t>10 angel trumpets</t>
  </si>
  <si>
    <t>cobb water</t>
  </si>
  <si>
    <t>pool service</t>
  </si>
  <si>
    <t>lawn care $45</t>
  </si>
  <si>
    <t>pest control $85</t>
  </si>
  <si>
    <t>mosquito $65</t>
  </si>
  <si>
    <t>pool timer/install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</si>
</sst>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  <c r="B2" s="1">
        <v>128.96</v>
      </c>
    </row>
    <row r="3" ht="15.75" customHeight="1">
      <c r="A3" t="s">
        <v>4</v>
      </c>
      <c r="B3" s="1">
        <v>39.3</v>
      </c>
    </row>
    <row r="4" ht="15.75" customHeight="1">
      <c r="A4" t="s">
        <v>5</v>
      </c>
      <c r="B4" s="1">
        <v>137.22</v>
      </c>
    </row>
    <row r="5" ht="15.75" customHeight="1">
      <c r="A5" t="s">
        <v>6</v>
      </c>
    </row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3300.0</v>
      </c>
    </row>
    <row r="9" ht="15.75" customHeight="1">
      <c r="A9" t="s">
        <v>10</v>
      </c>
      <c r="B9" s="1">
        <v>4250.0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14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4605.48</v>
      </c>
      <c r="C15">
        <f t="shared" si="1"/>
        <v>3300</v>
      </c>
      <c r="D15">
        <f>C15-B15</f>
        <v>-1305.48</v>
      </c>
    </row>
    <row r="16" ht="15.75" customHeight="1"/>
    <row r="17" ht="15.75" customHeight="1">
      <c r="A17" s="1" t="s">
        <v>17</v>
      </c>
    </row>
    <row r="18" ht="15.75" customHeight="1">
      <c r="A18" s="1" t="s">
        <v>18</v>
      </c>
    </row>
    <row r="19" ht="15.75" customHeight="1"/>
    <row r="20" ht="15.75" customHeight="1"/>
    <row r="21" ht="15.75" customHeight="1">
      <c r="A21" s="2"/>
    </row>
    <row r="22" ht="15.75" customHeight="1"/>
    <row r="23" ht="15.75" customHeight="1">
      <c r="A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19</v>
      </c>
      <c r="B2" s="3">
        <v>0.0</v>
      </c>
    </row>
    <row r="3" ht="15.75" customHeight="1">
      <c r="A3" t="s">
        <v>4</v>
      </c>
      <c r="B3" s="1">
        <v>32.77</v>
      </c>
    </row>
    <row r="4" ht="15.75" customHeight="1">
      <c r="A4" t="s">
        <v>5</v>
      </c>
      <c r="B4" s="1">
        <v>138.9</v>
      </c>
    </row>
    <row r="5" ht="15.75" customHeight="1">
      <c r="A5" s="1" t="s">
        <v>20</v>
      </c>
      <c r="B5" s="1">
        <v>142.6</v>
      </c>
    </row>
    <row r="6" ht="15.75" customHeight="1">
      <c r="A6" t="s">
        <v>7</v>
      </c>
      <c r="B6" s="1">
        <v>117.14</v>
      </c>
    </row>
    <row r="7" ht="15.75" customHeight="1">
      <c r="A7" t="s">
        <v>8</v>
      </c>
      <c r="B7" s="1">
        <v>100.0</v>
      </c>
    </row>
    <row r="8" ht="15.75" customHeight="1">
      <c r="A8" t="s">
        <v>9</v>
      </c>
      <c r="C8" s="1">
        <v>3240.0</v>
      </c>
    </row>
    <row r="9" ht="15.75" customHeight="1">
      <c r="A9" t="s">
        <v>10</v>
      </c>
      <c r="B9" s="4">
        <v>26000.0</v>
      </c>
    </row>
    <row r="10" ht="15.75" customHeight="1">
      <c r="A10" t="s">
        <v>11</v>
      </c>
      <c r="B10" s="1">
        <v>113.0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21</v>
      </c>
    </row>
    <row r="14" ht="15.75" customHeight="1"/>
    <row r="15" ht="15.75" customHeight="1">
      <c r="B15" t="s">
        <v>15</v>
      </c>
      <c r="C15" t="s">
        <v>15</v>
      </c>
      <c r="D15" t="s">
        <v>16</v>
      </c>
    </row>
    <row r="16" ht="15.75" customHeight="1">
      <c r="C16">
        <f>sum(C3:C14)</f>
        <v>3240</v>
      </c>
      <c r="D16">
        <f>C16-B16</f>
        <v>3240</v>
      </c>
    </row>
    <row r="17" ht="15.75" customHeight="1">
      <c r="A17" s="1" t="s">
        <v>22</v>
      </c>
    </row>
    <row r="18" ht="15.75" customHeight="1">
      <c r="A18" s="1" t="s">
        <v>23</v>
      </c>
    </row>
    <row r="19" ht="15.75" customHeight="1">
      <c r="A19" s="1" t="s">
        <v>24</v>
      </c>
    </row>
    <row r="20" ht="15.75" customHeight="1">
      <c r="A20" s="1" t="s">
        <v>25</v>
      </c>
    </row>
    <row r="21" ht="15.75" customHeight="1">
      <c r="A21" s="2">
        <v>26000.0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26</v>
      </c>
      <c r="B2" s="1">
        <v>950.0</v>
      </c>
    </row>
    <row r="3" ht="15.75" customHeight="1">
      <c r="A3" t="s">
        <v>4</v>
      </c>
      <c r="B3" s="1">
        <v>34.63</v>
      </c>
    </row>
    <row r="4" ht="15.75" customHeight="1">
      <c r="A4" t="s">
        <v>5</v>
      </c>
      <c r="B4" s="1">
        <v>65.7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2350.0</v>
      </c>
    </row>
    <row r="9" ht="15.75" customHeight="1">
      <c r="A9" t="s">
        <v>10</v>
      </c>
      <c r="B9" s="1">
        <v>250.0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21</v>
      </c>
      <c r="B13" s="1">
        <v>125.0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1475.33</v>
      </c>
      <c r="C15">
        <f t="shared" si="1"/>
        <v>2350</v>
      </c>
      <c r="D15">
        <f>C15-B15</f>
        <v>874.67</v>
      </c>
    </row>
    <row r="16" ht="15.75" customHeight="1">
      <c r="A16" s="1" t="s">
        <v>27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28</v>
      </c>
      <c r="B2" s="1">
        <v>100.0</v>
      </c>
    </row>
    <row r="3" ht="15.75" customHeight="1">
      <c r="A3" t="s">
        <v>4</v>
      </c>
      <c r="B3" s="1">
        <v>62.37</v>
      </c>
    </row>
    <row r="4" ht="15.75" customHeight="1">
      <c r="A4" t="s">
        <v>5</v>
      </c>
      <c r="B4" s="1">
        <v>216.61</v>
      </c>
    </row>
    <row r="5" ht="15.75" customHeight="1">
      <c r="A5" s="1" t="s">
        <v>29</v>
      </c>
      <c r="B5" s="1">
        <v>44.09</v>
      </c>
    </row>
    <row r="6" ht="15.75" customHeight="1">
      <c r="A6" t="s">
        <v>7</v>
      </c>
      <c r="B6" s="1">
        <v>49.95</v>
      </c>
    </row>
    <row r="7" ht="15.75" customHeight="1">
      <c r="A7" t="s">
        <v>8</v>
      </c>
      <c r="B7" s="1">
        <v>90.0</v>
      </c>
    </row>
    <row r="8" ht="15.75" customHeight="1">
      <c r="A8" t="s">
        <v>9</v>
      </c>
      <c r="C8" s="1">
        <v>2537.0</v>
      </c>
    </row>
    <row r="9" ht="15.75" customHeight="1">
      <c r="A9" t="s">
        <v>10</v>
      </c>
      <c r="B9" s="1">
        <v>150.0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  <c r="B12" s="1">
        <v>150.0</v>
      </c>
    </row>
    <row r="13" ht="15.75" customHeight="1">
      <c r="A13" s="1" t="s">
        <v>30</v>
      </c>
      <c r="B13" s="1">
        <v>380.0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C15">
        <f>sum(C2:C13)</f>
        <v>2537</v>
      </c>
    </row>
    <row r="16" ht="15.75" customHeight="1">
      <c r="A16" s="1" t="s">
        <v>31</v>
      </c>
    </row>
    <row r="17" ht="15.75" customHeight="1">
      <c r="A17" s="1" t="s">
        <v>32</v>
      </c>
    </row>
    <row r="18" ht="15.75" customHeight="1">
      <c r="A18" s="1" t="s">
        <v>33</v>
      </c>
    </row>
    <row r="19" ht="15.75" customHeight="1">
      <c r="A19" s="1" t="s">
        <v>34</v>
      </c>
    </row>
    <row r="20" ht="15.75" customHeight="1">
      <c r="A20" s="2">
        <v>150.0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1</v>
      </c>
      <c r="C1" t="s">
        <v>2</v>
      </c>
    </row>
    <row r="2" ht="15.75" customHeight="1">
      <c r="A2" t="s">
        <v>26</v>
      </c>
    </row>
    <row r="3" ht="15.75" customHeight="1">
      <c r="A3" t="s">
        <v>4</v>
      </c>
    </row>
    <row r="4" ht="15.75" customHeight="1">
      <c r="A4" t="s">
        <v>5</v>
      </c>
      <c r="B4" s="1">
        <v>120.95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1750.0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21</v>
      </c>
      <c r="B13" s="1">
        <v>350.0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520.95</v>
      </c>
      <c r="C15">
        <f t="shared" si="1"/>
        <v>1750</v>
      </c>
      <c r="D15">
        <f>C15-B15</f>
        <v>1229.05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>
        <f>sum('260 East Taylors Crossing'!B15+'5525 Taylor Road'!B16+'4645 valais ct'!B15+'1120 Lauren way'!B15+'115 Peachtree Memorial Drive'!B15)</f>
        <v>6601.76</v>
      </c>
      <c r="C4">
        <f>sum('260 East Taylors Crossing'!C15+'5525 Taylor Road'!C16+'4645 valais ct'!C15+'1120 Lauren way'!C15+'115 Peachtree Memorial Drive'!C15)</f>
        <v>13177</v>
      </c>
      <c r="D4">
        <f>sum('260 East Taylors Crossing'!D15+'5525 Taylor Road'!D16+'4645 valais ct'!D15+'1120 Lauren way'!D15+'115 Peachtree Memorial Drive'!D15)</f>
        <v>4038.24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