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Totals" sheetId="5" r:id="rId8"/>
  </sheets>
  <definedNames/>
  <calcPr/>
</workbook>
</file>

<file path=xl/sharedStrings.xml><?xml version="1.0" encoding="utf-8"?>
<sst xmlns="http://schemas.openxmlformats.org/spreadsheetml/2006/main" count="78" uniqueCount="23">
  <si>
    <t>Line Item</t>
  </si>
  <si>
    <t>Debits</t>
  </si>
  <si>
    <t>Credits</t>
  </si>
  <si>
    <t>mortgage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</si>
  <si>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</si>
  <si>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</si>
  <si>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</si>
  <si>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</si>
  <si>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</si>
  <si>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</si>
  <si>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</si>
  <si>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</si>
  <si>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</si>
  <si>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</si>
  <si>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water 3 mths 7/179/17</t>
  </si>
  <si>
    <t>Total</t>
  </si>
  <si>
    <t>Net</t>
  </si>
  <si>
    <t>water</t>
  </si>
  <si>
    <t>trash WM</t>
  </si>
  <si>
    <t>hoa</t>
  </si>
  <si>
    <t>Electricity/trash</t>
  </si>
  <si>
    <t>Paid Chad $540 10/20</t>
  </si>
  <si>
    <t>Paid Chad $240 10/28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</si>
</sst>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26.08</v>
      </c>
    </row>
    <row r="4">
      <c r="A4" s="1" t="s">
        <v>5</v>
      </c>
      <c r="B4" s="1">
        <v>120.66</v>
      </c>
    </row>
    <row r="5">
      <c r="A5" s="1" t="s">
        <v>6</v>
      </c>
      <c r="B5" s="1"/>
    </row>
    <row r="6">
      <c r="A6" s="1" t="s">
        <v>7</v>
      </c>
      <c r="B6" s="1">
        <v>50.0</v>
      </c>
    </row>
    <row r="7">
      <c r="A7" s="1" t="s">
        <v>8</v>
      </c>
    </row>
    <row r="8">
      <c r="A8" s="1" t="s">
        <v>9</v>
      </c>
      <c r="C8" s="1">
        <v>2548.5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/>
    </row>
    <row r="12">
      <c r="A12" s="1" t="s">
        <v>13</v>
      </c>
    </row>
    <row r="13">
      <c r="A13" s="1" t="s">
        <v>14</v>
      </c>
      <c r="B13" s="1">
        <v>126.96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323.7</v>
      </c>
      <c r="C15" s="1">
        <f t="shared" si="1"/>
        <v>2548.5</v>
      </c>
      <c r="D15" s="1">
        <f>C15-B15</f>
        <v>2224.8</v>
      </c>
    </row>
    <row r="18">
      <c r="A1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18.09</v>
      </c>
    </row>
    <row r="4">
      <c r="A4" s="1" t="s">
        <v>5</v>
      </c>
      <c r="B4" s="1">
        <v>162.42</v>
      </c>
    </row>
    <row r="5">
      <c r="A5" s="1" t="s">
        <v>17</v>
      </c>
    </row>
    <row r="6">
      <c r="A6" s="1" t="s">
        <v>7</v>
      </c>
      <c r="B6" s="1">
        <v>160.71</v>
      </c>
    </row>
    <row r="7">
      <c r="A7" s="1" t="s">
        <v>8</v>
      </c>
      <c r="B7" s="1"/>
    </row>
    <row r="8">
      <c r="A8" s="1" t="s">
        <v>9</v>
      </c>
      <c r="C8" s="1">
        <v>2435.0</v>
      </c>
    </row>
    <row r="9">
      <c r="A9" s="1" t="s">
        <v>10</v>
      </c>
      <c r="B9" s="1"/>
    </row>
    <row r="10">
      <c r="A10" s="1" t="s">
        <v>11</v>
      </c>
      <c r="B10" s="1"/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18</v>
      </c>
      <c r="B13" s="1">
        <v>49.3</v>
      </c>
    </row>
    <row r="14">
      <c r="A14" s="1"/>
    </row>
    <row r="15">
      <c r="B15" s="1" t="s">
        <v>15</v>
      </c>
      <c r="C15" s="1" t="s">
        <v>15</v>
      </c>
      <c r="D15" s="1" t="s">
        <v>16</v>
      </c>
    </row>
    <row r="16">
      <c r="B16" s="1">
        <f t="shared" ref="B16:C16" si="1">sum(B3:B14)</f>
        <v>390.52</v>
      </c>
      <c r="C16" s="1">
        <f t="shared" si="1"/>
        <v>2435</v>
      </c>
      <c r="D16" s="1">
        <f>C16-B16</f>
        <v>2044.48</v>
      </c>
    </row>
    <row r="18">
      <c r="A1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819.0</v>
      </c>
    </row>
    <row r="3">
      <c r="A3" s="1" t="s">
        <v>4</v>
      </c>
      <c r="B3" s="1">
        <v>32.49</v>
      </c>
    </row>
    <row r="4">
      <c r="A4" s="1" t="s">
        <v>5</v>
      </c>
      <c r="B4" s="1">
        <v>52.46</v>
      </c>
    </row>
    <row r="5">
      <c r="A5" s="1"/>
    </row>
    <row r="6">
      <c r="A6" s="1" t="s">
        <v>7</v>
      </c>
      <c r="B6" s="1">
        <v>50.0</v>
      </c>
      <c r="C6" s="1"/>
    </row>
    <row r="7">
      <c r="A7" s="1" t="s">
        <v>8</v>
      </c>
    </row>
    <row r="8">
      <c r="A8" s="1" t="s">
        <v>9</v>
      </c>
      <c r="C8" s="1">
        <v>1828.0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19</v>
      </c>
      <c r="B13" s="1">
        <v>125.0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1078.95</v>
      </c>
      <c r="C15" s="1">
        <f t="shared" si="1"/>
        <v>1828</v>
      </c>
      <c r="D15" s="1">
        <f>C15-B15</f>
        <v>749.05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896.0</v>
      </c>
    </row>
    <row r="3">
      <c r="A3" s="1" t="s">
        <v>4</v>
      </c>
      <c r="B3" s="1">
        <v>71.87</v>
      </c>
    </row>
    <row r="4">
      <c r="A4" s="1" t="s">
        <v>20</v>
      </c>
      <c r="B4" s="1">
        <v>164.73</v>
      </c>
    </row>
    <row r="5">
      <c r="A5" s="1"/>
    </row>
    <row r="6">
      <c r="A6" s="1" t="s">
        <v>7</v>
      </c>
      <c r="B6" s="1">
        <v>44.99</v>
      </c>
      <c r="C6" s="1"/>
    </row>
    <row r="7">
      <c r="A7" s="1" t="s">
        <v>8</v>
      </c>
      <c r="B7" s="1">
        <v>90.0</v>
      </c>
    </row>
    <row r="8">
      <c r="A8" s="1" t="s">
        <v>9</v>
      </c>
      <c r="C8" s="1">
        <v>1638.0</v>
      </c>
    </row>
    <row r="9">
      <c r="A9" s="1" t="s">
        <v>10</v>
      </c>
      <c r="B9" s="1">
        <v>110.0</v>
      </c>
    </row>
    <row r="10">
      <c r="A10" s="1" t="s">
        <v>11</v>
      </c>
      <c r="B10" s="1">
        <v>103.0</v>
      </c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19</v>
      </c>
      <c r="B13" s="1"/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1480.59</v>
      </c>
      <c r="C15" s="1">
        <f t="shared" si="1"/>
        <v>1638</v>
      </c>
      <c r="D15" s="1">
        <f>C15-B15</f>
        <v>157.41</v>
      </c>
    </row>
    <row r="18">
      <c r="A18" s="1" t="s">
        <v>21</v>
      </c>
    </row>
    <row r="19">
      <c r="A19" s="1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B2" s="1"/>
      <c r="C2" s="1"/>
      <c r="D2" s="1"/>
    </row>
    <row r="3">
      <c r="B3" s="1" t="s">
        <v>15</v>
      </c>
      <c r="C3" s="1" t="s">
        <v>15</v>
      </c>
      <c r="D3" s="1" t="s">
        <v>16</v>
      </c>
    </row>
    <row r="4">
      <c r="B4">
        <f>sum('260 East Taylors Crossing'!B15+'5525 Taylor Road'!B16+'4645 valais ct'!B15+'1120 Lauren way'!B15)</f>
        <v>3273.76</v>
      </c>
      <c r="C4">
        <f>sum('260 East Taylors Crossing'!C15+'5525 Taylor Road'!C16+'4645 valais ct'!C15+'1120 Lauren way'!C15)</f>
        <v>8449.5</v>
      </c>
      <c r="D4">
        <f>C4-B4</f>
        <v>5175.74</v>
      </c>
    </row>
  </sheetData>
  <drawing r:id="rId1"/>
</worksheet>
</file>