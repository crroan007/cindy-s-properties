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Totals" sheetId="5" r:id="rId8"/>
  </sheets>
  <definedNames/>
  <calcPr/>
</workbook>
</file>

<file path=xl/sharedStrings.xml><?xml version="1.0" encoding="utf-8"?>
<sst xmlns="http://schemas.openxmlformats.org/spreadsheetml/2006/main" count="103" uniqueCount="49">
  <si>
    <t>Line Item</t>
  </si>
  <si>
    <t>Debits</t>
  </si>
  <si>
    <t>Credits</t>
  </si>
  <si>
    <t>mortgage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</si>
  <si>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</si>
  <si>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</si>
  <si>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</si>
  <si>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</si>
  <si>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</si>
  <si>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</si>
  <si>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</si>
  <si>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</si>
  <si>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</si>
  <si>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</si>
  <si>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waste republic</t>
  </si>
  <si>
    <t>Total</t>
  </si>
  <si>
    <t>Net</t>
  </si>
  <si>
    <t>waste mgmt</t>
  </si>
  <si>
    <t>water</t>
  </si>
  <si>
    <t>hoa</t>
  </si>
  <si>
    <t>sofa covers $67.98</t>
  </si>
  <si>
    <t>electric/trashdeposit</t>
  </si>
  <si>
    <t>water deposit</t>
  </si>
  <si>
    <t>$7000 labour upstairs</t>
  </si>
  <si>
    <t xml:space="preserve">remodelling </t>
  </si>
  <si>
    <t xml:space="preserve">Bought house Sept </t>
  </si>
  <si>
    <t>15th 2017</t>
  </si>
  <si>
    <t>Paid $115K</t>
  </si>
  <si>
    <t>Loan $101 balance</t>
  </si>
  <si>
    <t>floor and decor $257.69</t>
  </si>
  <si>
    <t>bathroom tiles $66.85</t>
  </si>
  <si>
    <t>truck rental $50.91</t>
  </si>
  <si>
    <t>truck rental $46.68</t>
  </si>
  <si>
    <t>storage$54.45</t>
  </si>
  <si>
    <t>used furniture $2360</t>
  </si>
  <si>
    <t>home depot$2000</t>
  </si>
  <si>
    <t>amazon $</t>
  </si>
  <si>
    <t>videocamera$348</t>
  </si>
  <si>
    <t>showerheadfaucet</t>
  </si>
  <si>
    <t>2vacuum $40</t>
  </si>
  <si>
    <t>2fans $285</t>
  </si>
  <si>
    <t>install fans/repair</t>
  </si>
  <si>
    <t>bed base 2 $168</t>
  </si>
  <si>
    <t>mop $34</t>
  </si>
  <si>
    <t>night lights $33</t>
  </si>
  <si>
    <t>overdoor hangers $13</t>
  </si>
  <si>
    <t>googlechromecast</t>
  </si>
  <si>
    <t>TV $348 Walmart</t>
  </si>
  <si>
    <t>accesorries$56.50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</si>
</sst>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39.98</v>
      </c>
    </row>
    <row r="4">
      <c r="A4" s="1" t="s">
        <v>5</v>
      </c>
      <c r="B4" s="1">
        <v>193.01</v>
      </c>
    </row>
    <row r="5">
      <c r="A5" s="1" t="s">
        <v>6</v>
      </c>
      <c r="B5" s="1">
        <v>764.0</v>
      </c>
    </row>
    <row r="6">
      <c r="A6" s="1" t="s">
        <v>7</v>
      </c>
      <c r="B6" s="1">
        <v>55.22</v>
      </c>
    </row>
    <row r="7">
      <c r="A7" s="1" t="s">
        <v>8</v>
      </c>
    </row>
    <row r="8">
      <c r="A8" s="1" t="s">
        <v>9</v>
      </c>
      <c r="C8" s="1">
        <v>2575.0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>
        <v>50.0</v>
      </c>
    </row>
    <row r="12">
      <c r="A12" s="1" t="s">
        <v>13</v>
      </c>
    </row>
    <row r="13">
      <c r="A13" s="1" t="s">
        <v>14</v>
      </c>
      <c r="B13" s="1">
        <v>60.0</v>
      </c>
    </row>
    <row r="14">
      <c r="B14" s="1">
        <v>6.0</v>
      </c>
      <c r="C14" s="1" t="s">
        <v>15</v>
      </c>
      <c r="D14" s="1" t="s">
        <v>16</v>
      </c>
    </row>
    <row r="15">
      <c r="B15" s="1">
        <f t="shared" ref="B15:C15" si="1">sum(B2:B13)</f>
        <v>1162.21</v>
      </c>
      <c r="C15" s="1">
        <f t="shared" si="1"/>
        <v>2575</v>
      </c>
      <c r="D15" s="1">
        <f>C15-B15</f>
        <v>1412.79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34.48</v>
      </c>
    </row>
    <row r="4">
      <c r="A4" s="1" t="s">
        <v>5</v>
      </c>
      <c r="B4" s="1">
        <v>262.5</v>
      </c>
    </row>
    <row r="5">
      <c r="A5" s="1" t="s">
        <v>17</v>
      </c>
      <c r="B5" s="1">
        <v>49.3</v>
      </c>
    </row>
    <row r="6">
      <c r="A6" s="1" t="s">
        <v>7</v>
      </c>
      <c r="B6" s="1">
        <v>222.38</v>
      </c>
    </row>
    <row r="7">
      <c r="A7" s="1" t="s">
        <v>8</v>
      </c>
      <c r="B7" s="1">
        <v>60.0</v>
      </c>
    </row>
    <row r="8">
      <c r="A8" s="1" t="s">
        <v>9</v>
      </c>
      <c r="C8" s="1">
        <v>2512.0</v>
      </c>
    </row>
    <row r="9">
      <c r="A9" s="1" t="s">
        <v>10</v>
      </c>
      <c r="B9" s="1"/>
    </row>
    <row r="10">
      <c r="A10" s="1" t="s">
        <v>11</v>
      </c>
      <c r="B10" s="1">
        <v>67.98</v>
      </c>
    </row>
    <row r="11">
      <c r="A11" s="1" t="s">
        <v>12</v>
      </c>
      <c r="B11" s="1">
        <v>80.0</v>
      </c>
    </row>
    <row r="12">
      <c r="A12" s="1" t="s">
        <v>18</v>
      </c>
      <c r="B12" s="1">
        <v>89.49</v>
      </c>
    </row>
    <row r="13">
      <c r="A13" s="1" t="s">
        <v>19</v>
      </c>
    </row>
    <row r="14">
      <c r="A14" s="1"/>
    </row>
    <row r="15">
      <c r="B15" s="1" t="s">
        <v>15</v>
      </c>
      <c r="C15" s="1" t="s">
        <v>15</v>
      </c>
      <c r="D15" s="1" t="s">
        <v>16</v>
      </c>
    </row>
    <row r="16">
      <c r="B16" s="1">
        <f t="shared" ref="B16:C16" si="1">sum(B3:B14)</f>
        <v>866.13</v>
      </c>
      <c r="C16" s="1">
        <f t="shared" si="1"/>
        <v>2512</v>
      </c>
      <c r="D16" s="1">
        <f>C16-B16</f>
        <v>1645.87</v>
      </c>
    </row>
    <row r="18">
      <c r="A18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819.0</v>
      </c>
    </row>
    <row r="3">
      <c r="A3" s="1" t="s">
        <v>4</v>
      </c>
      <c r="B3" s="1">
        <v>32.49</v>
      </c>
    </row>
    <row r="4">
      <c r="A4" s="1" t="s">
        <v>5</v>
      </c>
      <c r="B4" s="1">
        <v>92.86</v>
      </c>
    </row>
    <row r="5">
      <c r="A5" s="1"/>
    </row>
    <row r="6">
      <c r="A6" s="1" t="s">
        <v>7</v>
      </c>
      <c r="B6" s="1">
        <v>58.0</v>
      </c>
      <c r="C6" s="1"/>
    </row>
    <row r="7">
      <c r="A7" s="1" t="s">
        <v>8</v>
      </c>
    </row>
    <row r="8">
      <c r="A8" s="1" t="s">
        <v>9</v>
      </c>
      <c r="C8" s="1">
        <v>1832.0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19</v>
      </c>
      <c r="B13" s="1">
        <v>125.0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1127.35</v>
      </c>
      <c r="C15" s="1">
        <f t="shared" si="1"/>
        <v>1832</v>
      </c>
      <c r="D15" s="1">
        <f>C15-B15</f>
        <v>704.65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448.0</v>
      </c>
    </row>
    <row r="3">
      <c r="A3" s="1" t="s">
        <v>4</v>
      </c>
      <c r="B3" s="1"/>
    </row>
    <row r="4">
      <c r="A4" s="1" t="s">
        <v>21</v>
      </c>
      <c r="B4" s="1">
        <v>185.0</v>
      </c>
    </row>
    <row r="5">
      <c r="A5" s="1" t="s">
        <v>22</v>
      </c>
      <c r="B5" s="1">
        <v>75.0</v>
      </c>
    </row>
    <row r="6">
      <c r="A6" s="1" t="s">
        <v>7</v>
      </c>
      <c r="B6" s="1"/>
      <c r="C6" s="1"/>
    </row>
    <row r="7">
      <c r="A7" s="1" t="s">
        <v>8</v>
      </c>
    </row>
    <row r="8">
      <c r="A8" s="1" t="s">
        <v>9</v>
      </c>
      <c r="C8" s="1"/>
    </row>
    <row r="9">
      <c r="A9" s="1" t="s">
        <v>10</v>
      </c>
      <c r="B9" s="1"/>
    </row>
    <row r="10">
      <c r="A10" s="1" t="s">
        <v>11</v>
      </c>
      <c r="B10" s="1"/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19</v>
      </c>
      <c r="B13" s="1"/>
    </row>
    <row r="14">
      <c r="B14" s="1" t="s">
        <v>15</v>
      </c>
      <c r="C14" s="1" t="s">
        <v>15</v>
      </c>
      <c r="D14" s="1" t="s">
        <v>16</v>
      </c>
    </row>
    <row r="15">
      <c r="B15" s="1"/>
      <c r="C15" s="1"/>
      <c r="D15" s="1"/>
    </row>
    <row r="19">
      <c r="A19" s="1" t="s">
        <v>23</v>
      </c>
    </row>
    <row r="20">
      <c r="A20" s="1" t="s">
        <v>24</v>
      </c>
    </row>
    <row r="22">
      <c r="A22" s="1" t="s">
        <v>25</v>
      </c>
    </row>
    <row r="23">
      <c r="A23" s="1" t="s">
        <v>26</v>
      </c>
    </row>
    <row r="24">
      <c r="A24" s="1" t="s">
        <v>27</v>
      </c>
    </row>
    <row r="25">
      <c r="A25" s="1" t="s">
        <v>28</v>
      </c>
    </row>
    <row r="27">
      <c r="A27" s="1" t="s">
        <v>29</v>
      </c>
    </row>
    <row r="28">
      <c r="A28" s="1" t="s">
        <v>30</v>
      </c>
    </row>
    <row r="29">
      <c r="A29" s="1" t="s">
        <v>31</v>
      </c>
    </row>
    <row r="30">
      <c r="A30" s="1" t="s">
        <v>32</v>
      </c>
    </row>
    <row r="31">
      <c r="A31" s="1" t="s">
        <v>33</v>
      </c>
    </row>
    <row r="32">
      <c r="A32" s="1" t="s">
        <v>34</v>
      </c>
    </row>
    <row r="33">
      <c r="A33" s="1" t="s">
        <v>35</v>
      </c>
    </row>
    <row r="34">
      <c r="A34" s="1" t="s">
        <v>36</v>
      </c>
    </row>
    <row r="35">
      <c r="A35" s="1" t="s">
        <v>37</v>
      </c>
    </row>
    <row r="36">
      <c r="A36" s="1" t="s">
        <v>38</v>
      </c>
    </row>
    <row r="37">
      <c r="A37" s="2">
        <v>105.0</v>
      </c>
    </row>
    <row r="38">
      <c r="A38" s="1" t="s">
        <v>39</v>
      </c>
    </row>
    <row r="39">
      <c r="A39" s="1" t="s">
        <v>40</v>
      </c>
    </row>
    <row r="40">
      <c r="A40" s="1" t="s">
        <v>41</v>
      </c>
    </row>
    <row r="41">
      <c r="A41" s="2">
        <v>230.0</v>
      </c>
    </row>
    <row r="42">
      <c r="A42" s="1" t="s">
        <v>42</v>
      </c>
    </row>
    <row r="43">
      <c r="A43" s="1" t="s">
        <v>43</v>
      </c>
    </row>
    <row r="44">
      <c r="A44" s="1" t="s">
        <v>44</v>
      </c>
    </row>
    <row r="45">
      <c r="A45" s="1" t="s">
        <v>45</v>
      </c>
    </row>
    <row r="46">
      <c r="A46" s="1" t="s">
        <v>46</v>
      </c>
    </row>
    <row r="47">
      <c r="A47" s="2">
        <v>35.0</v>
      </c>
    </row>
    <row r="48">
      <c r="A48" s="1" t="s">
        <v>47</v>
      </c>
    </row>
    <row r="49">
      <c r="A49" s="1" t="s">
        <v>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15</v>
      </c>
      <c r="C3" s="1" t="s">
        <v>15</v>
      </c>
      <c r="D3" s="1" t="s">
        <v>16</v>
      </c>
    </row>
    <row r="4">
      <c r="B4">
        <f>sum('260 East Taylors Crossing'!B15+'5525 Taylor Road'!B16+'4645 valais ct'!B15+'1120 Lauren way'!B15)</f>
        <v>3155.69</v>
      </c>
      <c r="C4">
        <f>sum('260 East Taylors Crossing'!C15+'5525 Taylor Road'!C16+'4645 valais ct'!C15+'1120 Lauren way'!C15)</f>
        <v>6919</v>
      </c>
      <c r="D4">
        <f>C4-B4</f>
        <v>3763.31</v>
      </c>
    </row>
  </sheetData>
  <drawing r:id="rId1"/>
</worksheet>
</file>