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<sst xmlns="http://schemas.openxmlformats.org/spreadsheetml/2006/main" count="92" uniqueCount="25">
  <si>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</si>
  <si>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</si>
  <si>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</si>
  <si>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</si>
  <si>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</si>
  <si>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</si>
  <si>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</si>
  <si>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</si>
  <si>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</si>
  <si>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</si>
  <si>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</si>
  <si>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</si>
  <si>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</si>
  <si>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</si>
  <si>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</si>
  <si>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installed new a/c</t>
  </si>
  <si>
    <t>May 14th $4k</t>
  </si>
  <si>
    <t>RepublictrashNov/dec</t>
  </si>
  <si>
    <t xml:space="preserve">water jan to march </t>
  </si>
  <si>
    <t>hoa</t>
  </si>
  <si>
    <t>Total</t>
  </si>
  <si>
    <t>Net</t>
  </si>
  <si>
    <t>mortgage</t>
  </si>
  <si>
    <t>cobb water</t>
  </si>
  <si>
    <t xml:space="preserve">pool services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</si>
</sst>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45.64</v>
      </c>
    </row>
    <row r="4" ht="15.75" customHeight="1">
      <c r="A4" t="s">
        <v>5</v>
      </c>
      <c r="B4" s="1">
        <v>137.22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50.0</v>
      </c>
    </row>
    <row r="8" ht="15.75" customHeight="1">
      <c r="A8" t="s">
        <v>9</v>
      </c>
      <c r="C8" s="1">
        <v>3300.0</v>
      </c>
    </row>
    <row r="9" ht="15.75" customHeight="1">
      <c r="A9" t="s">
        <v>10</v>
      </c>
      <c r="B9" s="2">
        <v>4000.0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s="1">
        <v>4282.86</v>
      </c>
      <c r="C14" s="1">
        <v>3300.0</v>
      </c>
      <c r="D14" s="3">
        <v>-982.0</v>
      </c>
    </row>
    <row r="15" ht="15.75" customHeight="1"/>
    <row r="16" ht="15.75" customHeight="1">
      <c r="A16" s="1" t="s">
        <v>15</v>
      </c>
    </row>
    <row r="17" ht="15.75" customHeight="1">
      <c r="A17" s="1" t="s">
        <v>16</v>
      </c>
    </row>
    <row r="18" ht="15.75" customHeight="1"/>
    <row r="19" ht="15.75" customHeight="1"/>
    <row r="20" ht="15.75" customHeight="1"/>
    <row r="21" ht="15.75" customHeight="1">
      <c r="A21" s="3"/>
    </row>
    <row r="22" ht="15.75" customHeight="1"/>
    <row r="23" ht="15.75" customHeight="1">
      <c r="A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4"/>
    </row>
    <row r="3" ht="15.75" customHeight="1">
      <c r="A3" t="s">
        <v>4</v>
      </c>
      <c r="B3" s="1">
        <v>33.47</v>
      </c>
    </row>
    <row r="4" ht="15.75" customHeight="1">
      <c r="A4" t="s">
        <v>5</v>
      </c>
      <c r="B4" s="1">
        <v>138.9</v>
      </c>
    </row>
    <row r="5" ht="15.75" customHeight="1">
      <c r="A5" s="1" t="s">
        <v>18</v>
      </c>
    </row>
    <row r="6" ht="15.75" customHeight="1">
      <c r="A6" t="s">
        <v>7</v>
      </c>
      <c r="B6" s="1">
        <v>117.0</v>
      </c>
    </row>
    <row r="7" ht="15.75" customHeight="1">
      <c r="A7" t="s">
        <v>8</v>
      </c>
    </row>
    <row r="8" ht="15.75" customHeight="1">
      <c r="A8" t="s">
        <v>9</v>
      </c>
      <c r="C8" s="1">
        <v>1953.0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20</v>
      </c>
      <c r="C15" t="s">
        <v>20</v>
      </c>
      <c r="D15" t="s">
        <v>21</v>
      </c>
    </row>
    <row r="16" ht="15.75" customHeight="1">
      <c r="B16" s="1">
        <v>289.37</v>
      </c>
      <c r="C16">
        <f>sum(C3:C14)</f>
        <v>1953</v>
      </c>
      <c r="D16" s="1">
        <v>1663.63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  <c r="B2" s="1">
        <v>950.0</v>
      </c>
    </row>
    <row r="3" ht="15.75" customHeight="1">
      <c r="A3" t="s">
        <v>4</v>
      </c>
      <c r="B3" s="1">
        <v>40.66</v>
      </c>
    </row>
    <row r="4" ht="15.75" customHeight="1">
      <c r="A4" t="s">
        <v>5</v>
      </c>
      <c r="B4" s="1">
        <v>65.7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136.0</v>
      </c>
    </row>
    <row r="14" ht="15.75" customHeight="1">
      <c r="B14" t="s">
        <v>20</v>
      </c>
      <c r="C14" t="s">
        <v>20</v>
      </c>
      <c r="D14" t="s">
        <v>21</v>
      </c>
    </row>
    <row r="15" ht="15.75" customHeight="1">
      <c r="B15">
        <f t="shared" ref="B15:C15" si="1">sum(B2:B13)</f>
        <v>1242.36</v>
      </c>
      <c r="C15">
        <f t="shared" si="1"/>
        <v>2350</v>
      </c>
      <c r="D15">
        <f>C15-B15</f>
        <v>1107.64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  <c r="B3" s="1">
        <v>48.05</v>
      </c>
    </row>
    <row r="4" ht="15.75" customHeight="1">
      <c r="A4" t="s">
        <v>5</v>
      </c>
      <c r="B4" s="1">
        <v>216.61</v>
      </c>
    </row>
    <row r="5" ht="15.75" customHeight="1">
      <c r="A5" s="1" t="s">
        <v>23</v>
      </c>
      <c r="B5" s="1">
        <v>44.09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45.0</v>
      </c>
    </row>
    <row r="8" ht="15.75" customHeight="1">
      <c r="A8" t="s">
        <v>9</v>
      </c>
      <c r="C8" s="1">
        <v>2600.0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24</v>
      </c>
      <c r="B13" s="1">
        <v>380.5</v>
      </c>
    </row>
    <row r="14" ht="15.75" customHeight="1">
      <c r="B14" t="s">
        <v>20</v>
      </c>
      <c r="C14" t="s">
        <v>20</v>
      </c>
      <c r="D14" t="s">
        <v>21</v>
      </c>
    </row>
    <row r="15" ht="15.75" customHeight="1">
      <c r="B15" s="1">
        <v>784.25</v>
      </c>
      <c r="C15">
        <f>sum(C2:C13)</f>
        <v>2600</v>
      </c>
      <c r="D15" s="1">
        <v>1815.75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</row>
    <row r="4" ht="15.75" customHeight="1">
      <c r="A4" t="s">
        <v>5</v>
      </c>
      <c r="B4" s="1">
        <v>73.65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20</v>
      </c>
      <c r="C14" t="s">
        <v>20</v>
      </c>
      <c r="D14" t="s">
        <v>21</v>
      </c>
    </row>
    <row r="15" ht="15.75" customHeight="1">
      <c r="B15">
        <f t="shared" ref="B15:C15" si="1">sum(B2:B13)</f>
        <v>473.65</v>
      </c>
      <c r="C15">
        <f t="shared" si="1"/>
        <v>1750</v>
      </c>
      <c r="D15">
        <f>C15-B15</f>
        <v>1276.35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20</v>
      </c>
      <c r="C3" t="s">
        <v>20</v>
      </c>
      <c r="D3" t="s">
        <v>21</v>
      </c>
    </row>
    <row r="4" ht="15.75" customHeight="1">
      <c r="B4">
        <f>sum('260 East Taylors Crossing'!B15+'5525 Taylor Road'!B16+'4645 valais ct'!B15+'1120 Lauren way'!B15+'115 Peachtree Memorial Drive'!B15)</f>
        <v>2789.63</v>
      </c>
      <c r="C4">
        <f>sum('260 East Taylors Crossing'!C15+'5525 Taylor Road'!C16+'4645 valais ct'!C15+'1120 Lauren way'!C15+'115 Peachtree Memorial Drive'!C15)</f>
        <v>8653</v>
      </c>
      <c r="D4">
        <f>sum('260 East Taylors Crossing'!D15+'5525 Taylor Road'!D16+'4645 valais ct'!D15+'1120 Lauren way'!D15+'115 Peachtree Memorial Drive'!D15)</f>
        <v>5863.37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