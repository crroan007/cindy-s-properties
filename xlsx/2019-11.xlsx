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<sst xmlns="http://schemas.openxmlformats.org/spreadsheetml/2006/main" count="93" uniqueCount="23">
  <si>
    <t>Line Item</t>
  </si>
  <si>
    <t>Debits</t>
  </si>
  <si>
    <t>Credits</t>
  </si>
  <si>
    <t>water sept to nov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</si>
  <si>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</si>
  <si>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</si>
  <si>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</si>
  <si>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</si>
  <si>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</si>
  <si>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</si>
  <si>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</si>
  <si>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</si>
  <si>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</si>
  <si>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</si>
  <si>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</si>
  <si>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</si>
  <si>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</si>
  <si>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RepublictrashNov/dec</t>
  </si>
  <si>
    <t>hoa</t>
  </si>
  <si>
    <t>mortgage</t>
  </si>
  <si>
    <t>Electricity/trash</t>
  </si>
  <si>
    <t>cobb water</t>
  </si>
  <si>
    <t>home insurance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</si>
</sst>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150.08</v>
      </c>
    </row>
    <row r="3" ht="15.75" customHeight="1">
      <c r="A3" t="s">
        <v>4</v>
      </c>
      <c r="B3" s="1">
        <v>63.79</v>
      </c>
    </row>
    <row r="4" ht="15.75" customHeight="1">
      <c r="A4" t="s">
        <v>5</v>
      </c>
      <c r="B4" s="1">
        <v>112.11</v>
      </c>
    </row>
    <row r="5" ht="15.75" customHeight="1">
      <c r="A5" t="s">
        <v>6</v>
      </c>
    </row>
    <row r="6" ht="15.75" customHeight="1">
      <c r="A6" t="s">
        <v>7</v>
      </c>
      <c r="B6" s="1">
        <v>102.15</v>
      </c>
    </row>
    <row r="7" ht="15.75" customHeight="1">
      <c r="A7" t="s">
        <v>8</v>
      </c>
    </row>
    <row r="8" ht="15.75" customHeight="1">
      <c r="A8" t="s">
        <v>9</v>
      </c>
      <c r="C8" s="1">
        <v>4250.0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428.13</v>
      </c>
      <c r="C15">
        <f>sum(C2:C13)</f>
        <v>4250</v>
      </c>
      <c r="D15">
        <f>C15-B15</f>
        <v>3821.87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17</v>
      </c>
      <c r="B2" s="3">
        <v>0.0</v>
      </c>
    </row>
    <row r="3" ht="15.75" customHeight="1">
      <c r="A3" t="s">
        <v>4</v>
      </c>
      <c r="B3" s="1">
        <v>54.53</v>
      </c>
    </row>
    <row r="4" ht="15.75" customHeight="1">
      <c r="A4" t="s">
        <v>5</v>
      </c>
      <c r="B4" s="1">
        <v>128.13</v>
      </c>
    </row>
    <row r="5" ht="15.75" customHeight="1">
      <c r="A5" s="1" t="s">
        <v>3</v>
      </c>
      <c r="B5" s="1">
        <v>126.79</v>
      </c>
    </row>
    <row r="6" ht="15.75" customHeight="1">
      <c r="A6" t="s">
        <v>7</v>
      </c>
      <c r="B6" s="1">
        <v>102.15</v>
      </c>
    </row>
    <row r="7" ht="15.75" customHeight="1">
      <c r="A7" t="s">
        <v>8</v>
      </c>
    </row>
    <row r="8" ht="15.75" customHeight="1">
      <c r="A8" t="s">
        <v>9</v>
      </c>
      <c r="C8" s="1">
        <v>3200.0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18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411.6</v>
      </c>
      <c r="C16">
        <f>sum(C3:C14)</f>
        <v>3200</v>
      </c>
      <c r="D16">
        <f>C16-B16</f>
        <v>2788.4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  <c r="B2" s="1">
        <v>950.0</v>
      </c>
    </row>
    <row r="3" ht="15.75" customHeight="1">
      <c r="A3" t="s">
        <v>4</v>
      </c>
      <c r="B3" s="1">
        <v>43.09</v>
      </c>
    </row>
    <row r="4" ht="15.75" customHeight="1">
      <c r="A4" t="s">
        <v>5</v>
      </c>
      <c r="B4" s="1">
        <v>63.01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18</v>
      </c>
      <c r="B13" s="1">
        <v>136.0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1242.1</v>
      </c>
      <c r="C15">
        <f t="shared" si="1"/>
        <v>2350</v>
      </c>
      <c r="D15">
        <f>C15-B15</f>
        <v>1107.9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  <c r="B3" s="1">
        <v>70.7</v>
      </c>
    </row>
    <row r="4" ht="15.75" customHeight="1">
      <c r="A4" s="1" t="s">
        <v>20</v>
      </c>
      <c r="B4" s="1">
        <v>150.03</v>
      </c>
    </row>
    <row r="5" ht="15.75" customHeight="1">
      <c r="A5" s="1" t="s">
        <v>21</v>
      </c>
      <c r="B5" s="1">
        <v>138.68</v>
      </c>
    </row>
    <row r="6" ht="15.75" customHeight="1">
      <c r="A6" t="s">
        <v>7</v>
      </c>
      <c r="B6" s="1">
        <v>30.0</v>
      </c>
    </row>
    <row r="7" ht="15.75" customHeight="1">
      <c r="A7" t="s">
        <v>8</v>
      </c>
    </row>
    <row r="8" ht="15.75" customHeight="1">
      <c r="A8" t="s">
        <v>9</v>
      </c>
      <c r="C8" s="1">
        <v>2167.4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22</v>
      </c>
      <c r="B13" s="1">
        <v>1110.0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1499.41</v>
      </c>
      <c r="C15">
        <f>sum(C2:C13)</f>
        <v>2167.4</v>
      </c>
      <c r="D15">
        <f>C15-B15</f>
        <v>667.99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</row>
    <row r="4" ht="15.75" customHeight="1">
      <c r="A4" t="s">
        <v>5</v>
      </c>
      <c r="B4" s="1">
        <v>151.25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1800.0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18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551.25</v>
      </c>
      <c r="C15">
        <f t="shared" si="1"/>
        <v>1800</v>
      </c>
      <c r="D15">
        <f>C15-B15</f>
        <v>1248.75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4132.49</v>
      </c>
      <c r="C4">
        <f>sum('260 East Taylors Crossing'!C15+'5525 Taylor Road'!C16+'4645 valais ct'!C15+'1120 Lauren way'!C15+'115 Peachtree Memorial Drive'!C15)</f>
        <v>13767.4</v>
      </c>
      <c r="D4">
        <f>sum('260 East Taylors Crossing'!D15+'5525 Taylor Road'!D16+'4645 valais ct'!D15+'1120 Lauren way'!D15+'115 Peachtree Memorial Drive'!D15)</f>
        <v>9634.91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