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<sst xmlns="http://schemas.openxmlformats.org/spreadsheetml/2006/main" count="58" uniqueCount="19">
  <si>
    <t>Debits</t>
  </si>
  <si>
    <t>Credits</t>
  </si>
  <si>
    <t>mortgage</t>
  </si>
  <si>
    <t>Gas</t>
  </si>
  <si>
    <t>Electricity</t>
  </si>
  <si>
    <t>trash service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</si>
  <si>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</si>
  <si>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</si>
  <si>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</si>
  <si>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</si>
  <si>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</si>
  <si>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</si>
  <si>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</si>
  <si>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</si>
  <si>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</si>
  <si>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</si>
  <si>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>Line Item</t>
  </si>
  <si>
    <t xml:space="preserve">waste mgmt </t>
  </si>
  <si>
    <t xml:space="preserve">business expense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</si>
</sst>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/>
      <c r="B1" s="1" t="s">
        <v>0</v>
      </c>
      <c r="C1" s="1" t="s">
        <v>1</v>
      </c>
    </row>
    <row r="2">
      <c r="A2" s="1" t="s">
        <v>2</v>
      </c>
    </row>
    <row r="3">
      <c r="A3" s="1" t="s">
        <v>3</v>
      </c>
      <c r="B3" s="1">
        <v>38.4</v>
      </c>
    </row>
    <row r="4">
      <c r="A4" s="1" t="s">
        <v>4</v>
      </c>
      <c r="B4" s="1">
        <v>191.95</v>
      </c>
    </row>
    <row r="5">
      <c r="A5" s="1" t="s">
        <v>5</v>
      </c>
      <c r="B5" s="1">
        <v>54.0</v>
      </c>
    </row>
    <row r="6">
      <c r="A6" s="1" t="s">
        <v>6</v>
      </c>
      <c r="B6" s="1">
        <v>59.99</v>
      </c>
    </row>
    <row r="7">
      <c r="A7" s="1" t="s">
        <v>7</v>
      </c>
    </row>
    <row r="8">
      <c r="A8" s="1" t="s">
        <v>8</v>
      </c>
      <c r="C8" s="1">
        <v>3250.0</v>
      </c>
    </row>
    <row r="9">
      <c r="A9" s="1" t="s">
        <v>9</v>
      </c>
      <c r="B9" s="1"/>
    </row>
    <row r="10">
      <c r="A10" s="1" t="s">
        <v>10</v>
      </c>
      <c r="B10" s="1">
        <v>200.0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544.34</v>
      </c>
      <c r="C15" s="1">
        <f t="shared" si="1"/>
        <v>3250</v>
      </c>
      <c r="D15" s="1">
        <f t="shared" ref="D15:D16" si="2">C15-B15</f>
        <v>2705.66</v>
      </c>
    </row>
    <row r="16">
      <c r="D1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16</v>
      </c>
      <c r="B1" s="1" t="s">
        <v>0</v>
      </c>
      <c r="C1" s="1" t="s">
        <v>1</v>
      </c>
    </row>
    <row r="2">
      <c r="A2" s="1" t="s">
        <v>17</v>
      </c>
      <c r="B2" s="1">
        <v>46.96</v>
      </c>
    </row>
    <row r="3">
      <c r="A3" s="1" t="s">
        <v>3</v>
      </c>
      <c r="B3" s="1">
        <v>37.63</v>
      </c>
    </row>
    <row r="4">
      <c r="A4" s="1" t="s">
        <v>4</v>
      </c>
      <c r="B4" s="1">
        <v>248.84</v>
      </c>
    </row>
    <row r="5">
      <c r="A5" s="1" t="s">
        <v>18</v>
      </c>
      <c r="B5" s="1">
        <v>443.08</v>
      </c>
    </row>
    <row r="6">
      <c r="A6" s="1" t="s">
        <v>6</v>
      </c>
      <c r="B6" s="1">
        <v>175.26</v>
      </c>
    </row>
    <row r="7">
      <c r="A7" s="1" t="s">
        <v>7</v>
      </c>
      <c r="B7" s="1">
        <v>20.0</v>
      </c>
    </row>
    <row r="8">
      <c r="A8" s="1" t="s">
        <v>8</v>
      </c>
      <c r="C8" s="1">
        <v>3975.0</v>
      </c>
    </row>
    <row r="9">
      <c r="A9" s="1" t="s">
        <v>9</v>
      </c>
      <c r="B9" s="1"/>
    </row>
    <row r="10">
      <c r="A10" s="1" t="s">
        <v>10</v>
      </c>
    </row>
    <row r="11">
      <c r="A11" s="1" t="s">
        <v>11</v>
      </c>
      <c r="B11" s="1"/>
    </row>
    <row r="12">
      <c r="A12" s="1" t="s">
        <v>12</v>
      </c>
      <c r="B12" s="1"/>
    </row>
    <row r="13">
      <c r="A13" s="1" t="s">
        <v>13</v>
      </c>
    </row>
    <row r="14">
      <c r="A14" s="1"/>
    </row>
    <row r="15">
      <c r="B15" s="1" t="s">
        <v>14</v>
      </c>
      <c r="C15" s="1" t="s">
        <v>14</v>
      </c>
      <c r="D15" s="1" t="s">
        <v>15</v>
      </c>
    </row>
    <row r="16">
      <c r="B16" s="1">
        <f t="shared" ref="B16:C16" si="1">sum(B3:B14)</f>
        <v>924.81</v>
      </c>
      <c r="C16" s="1">
        <f t="shared" si="1"/>
        <v>3975</v>
      </c>
      <c r="D16" s="1">
        <f t="shared" ref="D16:D17" si="2">C16-B16</f>
        <v>3050.19</v>
      </c>
    </row>
    <row r="17">
      <c r="D17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16</v>
      </c>
      <c r="B1" s="1" t="s">
        <v>0</v>
      </c>
      <c r="C1" s="1" t="s">
        <v>1</v>
      </c>
    </row>
    <row r="2">
      <c r="A2" s="1" t="s">
        <v>2</v>
      </c>
      <c r="B2" s="1">
        <v>819.0</v>
      </c>
    </row>
    <row r="3">
      <c r="A3" s="1" t="s">
        <v>3</v>
      </c>
      <c r="B3" s="1">
        <v>36.88</v>
      </c>
    </row>
    <row r="4">
      <c r="A4" s="1" t="s">
        <v>4</v>
      </c>
      <c r="B4" s="1">
        <v>91.29</v>
      </c>
    </row>
    <row r="5">
      <c r="A5" s="1"/>
    </row>
    <row r="6">
      <c r="A6" s="1" t="s">
        <v>6</v>
      </c>
      <c r="B6" s="1">
        <v>59.99</v>
      </c>
      <c r="C6" s="1"/>
    </row>
    <row r="7">
      <c r="A7" s="1" t="s">
        <v>7</v>
      </c>
    </row>
    <row r="8">
      <c r="A8" s="1" t="s">
        <v>8</v>
      </c>
      <c r="C8" s="1">
        <v>2400.0</v>
      </c>
    </row>
    <row r="9">
      <c r="A9" s="1" t="s">
        <v>9</v>
      </c>
      <c r="B9" s="1">
        <v>150.0</v>
      </c>
    </row>
    <row r="10">
      <c r="A10" s="1" t="s">
        <v>10</v>
      </c>
    </row>
    <row r="11">
      <c r="A11" s="1" t="s">
        <v>11</v>
      </c>
      <c r="B11" s="1"/>
    </row>
    <row r="12">
      <c r="A12" s="1" t="s">
        <v>12</v>
      </c>
      <c r="B12" s="1"/>
    </row>
    <row r="13">
      <c r="A13" s="1" t="s">
        <v>13</v>
      </c>
      <c r="B13" s="1">
        <v>125.0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1282.16</v>
      </c>
      <c r="C15" s="1">
        <f t="shared" si="1"/>
        <v>2400</v>
      </c>
      <c r="D15" s="1">
        <f>C15-B15</f>
        <v>1117.84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16</v>
      </c>
      <c r="B1" s="1" t="s">
        <v>0</v>
      </c>
      <c r="C1" s="1" t="s">
        <v>1</v>
      </c>
    </row>
    <row r="2">
      <c r="B2" s="1"/>
      <c r="C2" s="1"/>
      <c r="D2" s="1"/>
    </row>
    <row r="3">
      <c r="B3" s="1" t="s">
        <v>14</v>
      </c>
      <c r="C3" s="1" t="s">
        <v>14</v>
      </c>
      <c r="D3" s="1" t="s">
        <v>15</v>
      </c>
    </row>
    <row r="4">
      <c r="B4">
        <f>'260 East Taylors Crossing'!B15+'5525 Taylor Road'!B16+'4645 valais ct'!B15</f>
        <v>2751.31</v>
      </c>
      <c r="C4">
        <f>'260 East Taylors Crossing'!C15+'5525 Taylor Road'!C16+'4645 valais ct'!C15</f>
        <v>9625</v>
      </c>
      <c r="D4">
        <f>C4-B4</f>
        <v>6873.69</v>
      </c>
    </row>
  </sheetData>
  <drawing r:id="rId1"/>
</worksheet>
</file>