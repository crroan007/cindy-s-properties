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4645 valais ct" sheetId="2" r:id="rId5"/>
    <sheet state="visible" name="5525 Taylor Road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<sst xmlns="http://schemas.openxmlformats.org/spreadsheetml/2006/main" count="102" uniqueCount="30">
  <si>
    <t>Line Item</t>
  </si>
  <si>
    <t>Debits</t>
  </si>
  <si>
    <t>Credits</t>
  </si>
  <si>
    <t>water/sewer 3 mths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</si>
  <si>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</si>
  <si>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</si>
  <si>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</si>
  <si>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</si>
  <si>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</si>
  <si>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</si>
  <si>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</si>
  <si>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</si>
  <si>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</si>
  <si>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</si>
  <si>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annual nest subscrip</t>
  </si>
  <si>
    <t>Total</t>
  </si>
  <si>
    <t>Net</t>
  </si>
  <si>
    <t>tankless water heater</t>
  </si>
  <si>
    <t xml:space="preserve">$11162 plus $800 </t>
  </si>
  <si>
    <t>labour</t>
  </si>
  <si>
    <t>basement supplies</t>
  </si>
  <si>
    <t>repair garage door</t>
  </si>
  <si>
    <t>mortgage</t>
  </si>
  <si>
    <t>hoa</t>
  </si>
  <si>
    <t xml:space="preserve">water jan to march </t>
  </si>
  <si>
    <t>cobb water</t>
  </si>
  <si>
    <t>repair A/c $190</t>
  </si>
  <si>
    <t xml:space="preserve">nest vidoe camera </t>
  </si>
  <si>
    <t>Nest thermostate</t>
  </si>
  <si>
    <t>$210 = $384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</si>
</sst>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  <c r="B2" s="1">
        <v>115.55</v>
      </c>
    </row>
    <row r="3" ht="15.75" customHeight="1">
      <c r="A3" t="s">
        <v>4</v>
      </c>
      <c r="B3" s="1">
        <v>53.95</v>
      </c>
    </row>
    <row r="4" ht="15.75" customHeight="1">
      <c r="A4" t="s">
        <v>5</v>
      </c>
      <c r="B4" s="1">
        <v>153.38</v>
      </c>
    </row>
    <row r="5" ht="15.75" customHeight="1">
      <c r="A5" t="s">
        <v>6</v>
      </c>
    </row>
    <row r="6" ht="15.75" customHeight="1">
      <c r="A6" t="s">
        <v>7</v>
      </c>
      <c r="B6" s="1">
        <v>50.0</v>
      </c>
    </row>
    <row r="7" ht="15.75" customHeight="1">
      <c r="A7" t="s">
        <v>8</v>
      </c>
      <c r="B7" s="1">
        <v>37.5</v>
      </c>
    </row>
    <row r="8" ht="15.75" customHeight="1">
      <c r="A8" t="s">
        <v>9</v>
      </c>
      <c r="C8" s="1">
        <v>3482.0</v>
      </c>
    </row>
    <row r="9" ht="15.75" customHeight="1">
      <c r="A9" t="s">
        <v>10</v>
      </c>
      <c r="B9" s="1"/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14</v>
      </c>
      <c r="B13" s="1">
        <v>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460.38</v>
      </c>
      <c r="C15">
        <f t="shared" si="1"/>
        <v>3482</v>
      </c>
      <c r="D15">
        <f>C15-B15</f>
        <v>3021.62</v>
      </c>
    </row>
    <row r="16" ht="15.75" customHeight="1"/>
    <row r="17" ht="15.75" customHeight="1">
      <c r="A17" s="1" t="s">
        <v>17</v>
      </c>
    </row>
    <row r="18" ht="15.75" customHeight="1">
      <c r="A18" s="1" t="s">
        <v>18</v>
      </c>
    </row>
    <row r="19" ht="15.75" customHeight="1">
      <c r="A19" s="1" t="s">
        <v>19</v>
      </c>
    </row>
    <row r="20" ht="15.75" customHeight="1">
      <c r="A20" s="1" t="s">
        <v>20</v>
      </c>
    </row>
    <row r="21" ht="15.75" customHeight="1">
      <c r="A21" s="2">
        <v>350.0</v>
      </c>
    </row>
    <row r="22" ht="15.75" customHeight="1">
      <c r="A22" s="1" t="s">
        <v>21</v>
      </c>
    </row>
    <row r="23" ht="15.75" customHeight="1">
      <c r="A23" s="2">
        <v>370.0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22</v>
      </c>
      <c r="B2" s="1">
        <v>813.0</v>
      </c>
    </row>
    <row r="3" ht="15.75" customHeight="1">
      <c r="A3" t="s">
        <v>4</v>
      </c>
      <c r="B3" s="1">
        <v>50.49</v>
      </c>
    </row>
    <row r="4" ht="15.75" customHeight="1">
      <c r="A4" t="s">
        <v>5</v>
      </c>
      <c r="B4" s="1">
        <v>48.82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2300.0</v>
      </c>
    </row>
    <row r="9" ht="15.75" customHeight="1">
      <c r="A9" t="s">
        <v>10</v>
      </c>
      <c r="B9" s="1">
        <v>90.0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23</v>
      </c>
      <c r="B13" s="1">
        <v>125.0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1177.31</v>
      </c>
      <c r="C15">
        <f t="shared" si="1"/>
        <v>2300</v>
      </c>
      <c r="D15">
        <f>C15-B15</f>
        <v>1122.69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22</v>
      </c>
    </row>
    <row r="3" ht="15.75" customHeight="1">
      <c r="A3" t="s">
        <v>4</v>
      </c>
      <c r="B3" s="1">
        <v>46.5</v>
      </c>
    </row>
    <row r="4" ht="15.75" customHeight="1">
      <c r="A4" t="s">
        <v>5</v>
      </c>
      <c r="B4" s="1">
        <v>98.97</v>
      </c>
    </row>
    <row r="5" ht="15.75" customHeight="1">
      <c r="A5" s="1" t="s">
        <v>24</v>
      </c>
      <c r="B5" s="1">
        <v>45.84</v>
      </c>
    </row>
    <row r="6" ht="15.75" customHeight="1">
      <c r="A6" t="s">
        <v>7</v>
      </c>
      <c r="B6" s="1">
        <v>164.68</v>
      </c>
    </row>
    <row r="7" ht="15.75" customHeight="1">
      <c r="A7" t="s">
        <v>8</v>
      </c>
    </row>
    <row r="8" ht="15.75" customHeight="1">
      <c r="A8" t="s">
        <v>9</v>
      </c>
      <c r="C8" s="1">
        <v>1650.0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23</v>
      </c>
    </row>
    <row r="14" ht="15.75" customHeight="1"/>
    <row r="15" ht="15.75" customHeight="1">
      <c r="B15" t="s">
        <v>15</v>
      </c>
      <c r="C15" t="s">
        <v>15</v>
      </c>
      <c r="D15" t="s">
        <v>16</v>
      </c>
    </row>
    <row r="16" ht="15.75" customHeight="1">
      <c r="B16">
        <f t="shared" ref="B16:C16" si="1">sum(B3:B14)</f>
        <v>355.99</v>
      </c>
      <c r="C16">
        <f t="shared" si="1"/>
        <v>1650</v>
      </c>
      <c r="D16">
        <f>C16-B16</f>
        <v>1294.01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22</v>
      </c>
      <c r="B2" s="1">
        <v>845.0</v>
      </c>
    </row>
    <row r="3" ht="15.75" customHeight="1">
      <c r="A3" t="s">
        <v>4</v>
      </c>
      <c r="B3" s="1">
        <v>162.86</v>
      </c>
    </row>
    <row r="4" ht="15.75" customHeight="1">
      <c r="A4" t="s">
        <v>5</v>
      </c>
      <c r="B4" s="1">
        <v>88.98</v>
      </c>
    </row>
    <row r="5" ht="15.75" customHeight="1">
      <c r="A5" s="1" t="s">
        <v>25</v>
      </c>
      <c r="B5" s="1">
        <v>62.0</v>
      </c>
    </row>
    <row r="6" ht="15.75" customHeight="1">
      <c r="A6" t="s">
        <v>7</v>
      </c>
      <c r="B6" s="1">
        <v>44.99</v>
      </c>
    </row>
    <row r="7" ht="15.75" customHeight="1">
      <c r="A7" t="s">
        <v>8</v>
      </c>
    </row>
    <row r="8" ht="15.75" customHeight="1">
      <c r="A8" t="s">
        <v>9</v>
      </c>
      <c r="C8" s="1">
        <v>1554.76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23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1203.83</v>
      </c>
      <c r="C15">
        <f t="shared" si="1"/>
        <v>1554.76</v>
      </c>
      <c r="D15">
        <f>C15-B15</f>
        <v>350.93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B1" t="s">
        <v>1</v>
      </c>
      <c r="C1" t="s">
        <v>2</v>
      </c>
    </row>
    <row r="2" ht="15.75" customHeight="1">
      <c r="A2" t="s">
        <v>22</v>
      </c>
    </row>
    <row r="3" ht="15.75" customHeight="1">
      <c r="A3" t="s">
        <v>4</v>
      </c>
    </row>
    <row r="4" ht="15.75" customHeight="1">
      <c r="A4" t="s">
        <v>5</v>
      </c>
      <c r="B4" s="1">
        <v>46.25</v>
      </c>
    </row>
    <row r="5" ht="15.75" customHeight="1"/>
    <row r="6" ht="15.75" customHeight="1">
      <c r="A6" t="s">
        <v>7</v>
      </c>
      <c r="B6" s="1">
        <v>40.0</v>
      </c>
    </row>
    <row r="7" ht="15.75" customHeight="1">
      <c r="A7" t="s">
        <v>8</v>
      </c>
    </row>
    <row r="8" ht="15.75" customHeight="1">
      <c r="A8" t="s">
        <v>9</v>
      </c>
    </row>
    <row r="9" ht="15.75" customHeight="1">
      <c r="A9" t="s">
        <v>10</v>
      </c>
      <c r="B9" s="2">
        <v>190.0</v>
      </c>
    </row>
    <row r="10" ht="15.75" customHeight="1">
      <c r="A10" t="s">
        <v>11</v>
      </c>
      <c r="B10" s="2">
        <v>384.0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23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>sum(B2:B13)</f>
        <v>1010.25</v>
      </c>
      <c r="D15">
        <f>C15-B15</f>
        <v>-1010.25</v>
      </c>
    </row>
    <row r="16" ht="15.75" customHeight="1"/>
    <row r="17" ht="15.75" customHeight="1">
      <c r="A17" s="1" t="s">
        <v>26</v>
      </c>
    </row>
    <row r="18" ht="15.75" customHeight="1">
      <c r="A18" s="1" t="s">
        <v>27</v>
      </c>
    </row>
    <row r="19" ht="15.75" customHeight="1">
      <c r="A19" s="2">
        <v>174.0</v>
      </c>
    </row>
    <row r="20" ht="15.75" customHeight="1">
      <c r="A20" s="1" t="s">
        <v>28</v>
      </c>
    </row>
    <row r="21" ht="15.75" customHeight="1">
      <c r="A21" s="1" t="s">
        <v>29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>
        <f>sum('260 East Taylors Crossing'!B15+'5525 Taylor Road'!B16+'4645 valais ct'!B15+'1120 Lauren way'!B15+'115 Peachtree Memorial Drive'!B15)</f>
        <v>4207.76</v>
      </c>
      <c r="C4">
        <f>sum('260 East Taylors Crossing'!C15+'5525 Taylor Road'!C16+'4645 valais ct'!C15+'1120 Lauren way'!C15+'115 Peachtree Memorial Drive'!C15)</f>
        <v>8986.76</v>
      </c>
      <c r="D4">
        <f>sum('260 East Taylors Crossing'!D15+'5525 Taylor Road'!D16+'4645 valais ct'!D15+'1120 Lauren way'!D15+'115 Peachtree Memorial Drive'!D15)</f>
        <v>4779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