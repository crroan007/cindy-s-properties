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<sst xmlns="http://schemas.openxmlformats.org/spreadsheetml/2006/main" count="95" uniqueCount="24">
  <si>
    <t>Line Item</t>
  </si>
  <si>
    <t>Debits</t>
  </si>
  <si>
    <t>Credits</t>
  </si>
  <si>
    <t>mortgage</t>
  </si>
  <si>
    <t>Gas</t>
  </si>
  <si>
    <t>Electricity</t>
  </si>
  <si>
    <t>yearly home  insurance</t>
  </si>
  <si>
    <t>internet/cable</t>
  </si>
  <si>
    <t>trash republic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</si>
  <si>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</si>
  <si>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</si>
  <si>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</si>
  <si>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</si>
  <si>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</si>
  <si>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water</t>
  </si>
  <si>
    <t>Total</t>
  </si>
  <si>
    <t>Net</t>
  </si>
  <si>
    <t>Chad $400 material</t>
  </si>
  <si>
    <t>for siding Nov 28th</t>
  </si>
  <si>
    <t>trash WM</t>
  </si>
  <si>
    <t>Lawn Care</t>
  </si>
  <si>
    <t>hoa</t>
  </si>
  <si>
    <t>B</t>
  </si>
  <si>
    <t>Electricity/trash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</si>
</sst>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1">
        <v>51.14</v>
      </c>
    </row>
    <row r="4">
      <c r="A4" s="1" t="s">
        <v>5</v>
      </c>
      <c r="B4" s="1">
        <v>90.35</v>
      </c>
    </row>
    <row r="5">
      <c r="A5" s="1" t="s">
        <v>6</v>
      </c>
      <c r="B5" s="1"/>
    </row>
    <row r="6">
      <c r="A6" s="1" t="s">
        <v>7</v>
      </c>
      <c r="B6" s="1">
        <v>50.0</v>
      </c>
    </row>
    <row r="7">
      <c r="A7" s="1" t="s">
        <v>8</v>
      </c>
      <c r="B7" s="1">
        <v>60.0</v>
      </c>
    </row>
    <row r="8">
      <c r="A8" s="1" t="s">
        <v>9</v>
      </c>
      <c r="C8" s="1">
        <v>2400.0</v>
      </c>
    </row>
    <row r="9">
      <c r="A9" s="1" t="s">
        <v>10</v>
      </c>
      <c r="B9" s="1">
        <v>400.0</v>
      </c>
    </row>
    <row r="10">
      <c r="A10" s="1" t="s">
        <v>11</v>
      </c>
    </row>
    <row r="11">
      <c r="A11" s="1" t="s">
        <v>12</v>
      </c>
      <c r="B11" s="1"/>
    </row>
    <row r="12">
      <c r="A12" s="1" t="s">
        <v>13</v>
      </c>
    </row>
    <row r="13">
      <c r="A13" s="1" t="s">
        <v>14</v>
      </c>
      <c r="B13" s="1">
        <v>31.0</v>
      </c>
    </row>
    <row r="14">
      <c r="B14" s="1" t="s">
        <v>15</v>
      </c>
      <c r="C14" s="1" t="s">
        <v>15</v>
      </c>
      <c r="D14" s="1" t="s">
        <v>16</v>
      </c>
    </row>
    <row r="15">
      <c r="B15" s="1">
        <f t="shared" ref="B15:C15" si="1">sum(B2:B13)</f>
        <v>682.49</v>
      </c>
      <c r="C15" s="1">
        <f t="shared" si="1"/>
        <v>2400</v>
      </c>
      <c r="D15" s="1">
        <f t="shared" ref="D15:D16" si="2">C15-B15</f>
        <v>1717.51</v>
      </c>
    </row>
    <row r="16">
      <c r="D16">
        <f t="shared" si="2"/>
        <v>0</v>
      </c>
    </row>
    <row r="17">
      <c r="A17" s="1" t="s">
        <v>17</v>
      </c>
    </row>
    <row r="18">
      <c r="A18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1">
        <v>18.09</v>
      </c>
    </row>
    <row r="4">
      <c r="A4" s="1" t="s">
        <v>5</v>
      </c>
      <c r="B4" s="1">
        <v>125.16</v>
      </c>
    </row>
    <row r="5">
      <c r="A5" s="1" t="s">
        <v>19</v>
      </c>
      <c r="B5" s="1">
        <v>49.3</v>
      </c>
    </row>
    <row r="6">
      <c r="A6" s="1" t="s">
        <v>7</v>
      </c>
      <c r="B6" s="1">
        <v>160.71</v>
      </c>
    </row>
    <row r="7">
      <c r="A7" s="1" t="s">
        <v>20</v>
      </c>
      <c r="B7" s="1"/>
    </row>
    <row r="8">
      <c r="A8" s="1" t="s">
        <v>9</v>
      </c>
      <c r="C8" s="1">
        <v>1720.0</v>
      </c>
    </row>
    <row r="9">
      <c r="A9" s="1" t="s">
        <v>10</v>
      </c>
      <c r="B9" s="1"/>
    </row>
    <row r="10">
      <c r="A10" s="1" t="s">
        <v>11</v>
      </c>
      <c r="B10" s="1"/>
    </row>
    <row r="11">
      <c r="A11" s="1" t="s">
        <v>12</v>
      </c>
      <c r="B11" s="1"/>
    </row>
    <row r="12">
      <c r="A12" s="1" t="s">
        <v>13</v>
      </c>
      <c r="B12" s="1"/>
    </row>
    <row r="13">
      <c r="A13" s="1" t="s">
        <v>21</v>
      </c>
    </row>
    <row r="14">
      <c r="A14" s="1"/>
    </row>
    <row r="15">
      <c r="B15" s="1" t="s">
        <v>15</v>
      </c>
      <c r="C15" s="1" t="s">
        <v>15</v>
      </c>
      <c r="D15" s="1" t="s">
        <v>16</v>
      </c>
    </row>
    <row r="16">
      <c r="B16" s="1">
        <f t="shared" ref="B16:C16" si="1">sum(B3:B14)</f>
        <v>353.26</v>
      </c>
      <c r="C16" s="1">
        <f t="shared" si="1"/>
        <v>1720</v>
      </c>
      <c r="D16" s="1">
        <f>C16-B16</f>
        <v>1366.74</v>
      </c>
    </row>
    <row r="18">
      <c r="A1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819.0</v>
      </c>
    </row>
    <row r="3">
      <c r="A3" s="1" t="s">
        <v>4</v>
      </c>
      <c r="B3" s="1">
        <v>33.37</v>
      </c>
    </row>
    <row r="4">
      <c r="A4" s="1" t="s">
        <v>5</v>
      </c>
      <c r="B4" s="1">
        <v>49.65</v>
      </c>
    </row>
    <row r="5">
      <c r="A5" s="1"/>
    </row>
    <row r="6">
      <c r="A6" s="1" t="s">
        <v>7</v>
      </c>
      <c r="B6" s="1">
        <v>50.0</v>
      </c>
      <c r="C6" s="1"/>
    </row>
    <row r="7">
      <c r="A7" s="1" t="s">
        <v>20</v>
      </c>
    </row>
    <row r="8">
      <c r="A8" s="1" t="s">
        <v>9</v>
      </c>
      <c r="C8" s="1">
        <v>1742.15</v>
      </c>
    </row>
    <row r="9">
      <c r="A9" s="1" t="s">
        <v>10</v>
      </c>
      <c r="B9" s="1"/>
    </row>
    <row r="10">
      <c r="A10" s="1" t="s">
        <v>11</v>
      </c>
    </row>
    <row r="11">
      <c r="A11" s="1" t="s">
        <v>12</v>
      </c>
      <c r="B11" s="1"/>
    </row>
    <row r="12">
      <c r="A12" s="1" t="s">
        <v>13</v>
      </c>
      <c r="B12" s="1"/>
    </row>
    <row r="13">
      <c r="A13" s="1" t="s">
        <v>21</v>
      </c>
      <c r="B13" s="1">
        <v>125.0</v>
      </c>
    </row>
    <row r="14">
      <c r="B14" s="1" t="s">
        <v>15</v>
      </c>
      <c r="C14" s="1" t="s">
        <v>15</v>
      </c>
      <c r="D14" s="1" t="s">
        <v>16</v>
      </c>
    </row>
    <row r="15">
      <c r="B15" s="1">
        <f t="shared" ref="B15:C15" si="1">sum(B2:B13)</f>
        <v>1077.02</v>
      </c>
      <c r="C15" s="1">
        <f t="shared" si="1"/>
        <v>1742.15</v>
      </c>
      <c r="D15" s="1">
        <f>C15-B15</f>
        <v>665.13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22</v>
      </c>
      <c r="B1" s="1" t="s">
        <v>1</v>
      </c>
      <c r="C1" s="1" t="s">
        <v>2</v>
      </c>
    </row>
    <row r="2">
      <c r="A2" s="1" t="s">
        <v>3</v>
      </c>
      <c r="B2" s="1">
        <v>896.0</v>
      </c>
    </row>
    <row r="3">
      <c r="A3" s="1" t="s">
        <v>4</v>
      </c>
      <c r="B3" s="1">
        <v>94.05</v>
      </c>
    </row>
    <row r="4">
      <c r="A4" s="1" t="s">
        <v>23</v>
      </c>
      <c r="B4" s="1">
        <v>78.87</v>
      </c>
    </row>
    <row r="5">
      <c r="A5" s="1"/>
    </row>
    <row r="6">
      <c r="A6" s="1" t="s">
        <v>7</v>
      </c>
      <c r="B6" s="1">
        <v>44.99</v>
      </c>
      <c r="C6" s="1"/>
    </row>
    <row r="7">
      <c r="A7" s="1" t="s">
        <v>20</v>
      </c>
      <c r="B7" s="1">
        <v>90.0</v>
      </c>
    </row>
    <row r="8">
      <c r="A8" s="1" t="s">
        <v>9</v>
      </c>
      <c r="C8" s="1">
        <v>1843.29</v>
      </c>
    </row>
    <row r="9">
      <c r="A9" s="1" t="s">
        <v>10</v>
      </c>
      <c r="B9" s="1"/>
      <c r="C9" s="1"/>
    </row>
    <row r="10">
      <c r="A10" s="1" t="s">
        <v>11</v>
      </c>
      <c r="B10" s="1">
        <v>20.0</v>
      </c>
    </row>
    <row r="11">
      <c r="A11" s="1" t="s">
        <v>12</v>
      </c>
      <c r="B11" s="1"/>
    </row>
    <row r="12">
      <c r="A12" s="1" t="s">
        <v>13</v>
      </c>
      <c r="B12" s="1"/>
      <c r="C12" s="1">
        <v>4.0</v>
      </c>
    </row>
    <row r="13">
      <c r="A13" s="1" t="s">
        <v>21</v>
      </c>
      <c r="B13" s="1"/>
    </row>
    <row r="14">
      <c r="B14" s="1" t="s">
        <v>15</v>
      </c>
      <c r="C14" s="1" t="s">
        <v>15</v>
      </c>
      <c r="D14" s="1" t="s">
        <v>16</v>
      </c>
    </row>
    <row r="15">
      <c r="B15" s="1">
        <f t="shared" ref="B15:C15" si="1">sum(B2:B13)</f>
        <v>1223.91</v>
      </c>
      <c r="C15" s="1">
        <f t="shared" si="1"/>
        <v>1847.29</v>
      </c>
      <c r="D15" s="1">
        <f>C15-B15</f>
        <v>623.38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/>
    </row>
    <row r="3">
      <c r="A3" s="1" t="s">
        <v>4</v>
      </c>
      <c r="B3" s="1"/>
    </row>
    <row r="4">
      <c r="A4" s="1" t="s">
        <v>5</v>
      </c>
      <c r="B4" s="1">
        <v>45.3</v>
      </c>
    </row>
    <row r="5">
      <c r="A5" s="1"/>
    </row>
    <row r="6">
      <c r="A6" s="1" t="s">
        <v>7</v>
      </c>
      <c r="B6" s="1">
        <v>140.33</v>
      </c>
      <c r="C6" s="1"/>
    </row>
    <row r="7">
      <c r="A7" s="1" t="s">
        <v>20</v>
      </c>
    </row>
    <row r="8">
      <c r="A8" s="1" t="s">
        <v>9</v>
      </c>
      <c r="C8" s="1">
        <v>160.05</v>
      </c>
    </row>
    <row r="9">
      <c r="A9" s="1" t="s">
        <v>10</v>
      </c>
      <c r="B9" s="1"/>
    </row>
    <row r="10">
      <c r="A10" s="1" t="s">
        <v>11</v>
      </c>
      <c r="B10" s="1">
        <v>20.0</v>
      </c>
    </row>
    <row r="11">
      <c r="A11" s="1" t="s">
        <v>12</v>
      </c>
      <c r="B11" s="1">
        <v>65.0</v>
      </c>
    </row>
    <row r="12">
      <c r="A12" s="1" t="s">
        <v>13</v>
      </c>
      <c r="B12" s="1"/>
    </row>
    <row r="13">
      <c r="A13" s="1" t="s">
        <v>21</v>
      </c>
      <c r="B13" s="1">
        <v>300.0</v>
      </c>
    </row>
    <row r="14">
      <c r="B14" s="1" t="s">
        <v>15</v>
      </c>
      <c r="C14" s="1" t="s">
        <v>15</v>
      </c>
      <c r="D14" s="1" t="s">
        <v>16</v>
      </c>
    </row>
    <row r="15">
      <c r="B15" s="1">
        <f t="shared" ref="B15:C15" si="1">sum(B2:B13)</f>
        <v>570.63</v>
      </c>
      <c r="C15" s="1">
        <f t="shared" si="1"/>
        <v>160.05</v>
      </c>
      <c r="D15" s="1">
        <f>C15-B15</f>
        <v>-410.58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B2" s="1"/>
      <c r="C2" s="1"/>
      <c r="D2" s="1"/>
    </row>
    <row r="3">
      <c r="B3" s="1" t="s">
        <v>15</v>
      </c>
      <c r="C3" s="1" t="s">
        <v>15</v>
      </c>
      <c r="D3" s="1" t="s">
        <v>16</v>
      </c>
    </row>
    <row r="4">
      <c r="B4">
        <f>sum('260 East Taylors Crossing'!B15+'5525 Taylor Road'!B16+'4645 valais ct'!B15+'1120 Lauren way'!B15+'115 Peachtree Memorial Drive'!B15)</f>
        <v>3907.31</v>
      </c>
      <c r="C4">
        <f>sum('260 East Taylors Crossing'!C15+'5525 Taylor Road'!C16+'4645 valais ct'!C15+'1120 Lauren way'!C15+'115 Peachtree Memorial Drive'!C15)</f>
        <v>7869.49</v>
      </c>
      <c r="D4">
        <f>sum('260 East Taylors Crossing'!D15+'5525 Taylor Road'!D16+'4645 valais ct'!D15+'1120 Lauren way'!D15+'115 Peachtree Memorial Drive'!D15)</f>
        <v>3962.18</v>
      </c>
    </row>
  </sheetData>
  <drawing r:id="rId1"/>
</worksheet>
</file>