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<sst xmlns="http://schemas.openxmlformats.org/spreadsheetml/2006/main" count="96" uniqueCount="26">
  <si>
    <t xml:space="preserve">                                                                    </t>
  </si>
  <si>
    <t>Debits</t>
  </si>
  <si>
    <t>Credits</t>
  </si>
  <si>
    <t>water nov to 1/22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</si>
  <si>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</si>
  <si>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</si>
  <si>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</si>
  <si>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</si>
  <si>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</si>
  <si>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</si>
  <si>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</si>
  <si>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</si>
  <si>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</si>
  <si>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>waste mgmt</t>
  </si>
  <si>
    <t>annual nest subscrip</t>
  </si>
  <si>
    <t>Total</t>
  </si>
  <si>
    <t>Net</t>
  </si>
  <si>
    <t>repair heat $80</t>
  </si>
  <si>
    <t>Line Item</t>
  </si>
  <si>
    <t xml:space="preserve">pest control </t>
  </si>
  <si>
    <t>hoa</t>
  </si>
  <si>
    <t>mortgage</t>
  </si>
  <si>
    <t>Electricity/trash</t>
  </si>
  <si>
    <t>cobb water</t>
  </si>
  <si>
    <t>washer repair $340</t>
  </si>
  <si>
    <t>electricity $75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</si>
</sst>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s="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105.44</v>
      </c>
    </row>
    <row r="3" ht="15.75" customHeight="1">
      <c r="A3" t="s">
        <v>4</v>
      </c>
      <c r="B3" s="1">
        <v>68.9</v>
      </c>
    </row>
    <row r="4" ht="15.75" customHeight="1">
      <c r="A4" t="s">
        <v>5</v>
      </c>
      <c r="B4" s="1">
        <v>102.57</v>
      </c>
    </row>
    <row r="5" ht="15.75" customHeight="1">
      <c r="A5" t="s">
        <v>6</v>
      </c>
    </row>
    <row r="6" ht="15.75" customHeight="1">
      <c r="A6" t="s">
        <v>7</v>
      </c>
      <c r="B6" s="1">
        <v>106.0</v>
      </c>
    </row>
    <row r="7" ht="15.75" customHeight="1">
      <c r="A7" t="s">
        <v>8</v>
      </c>
    </row>
    <row r="8" ht="15.75" customHeight="1">
      <c r="A8" t="s">
        <v>9</v>
      </c>
    </row>
    <row r="9" ht="15.75" customHeight="1">
      <c r="A9" t="s">
        <v>10</v>
      </c>
      <c r="B9" s="1">
        <v>80.0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s="1" t="s">
        <v>13</v>
      </c>
      <c r="B12" s="1">
        <v>88.7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551.61</v>
      </c>
      <c r="C15">
        <f t="shared" si="1"/>
        <v>0</v>
      </c>
      <c r="D15">
        <f>C15-B15</f>
        <v>-551.61</v>
      </c>
    </row>
    <row r="16" ht="15.75" customHeight="1"/>
    <row r="17" ht="15.75" customHeight="1">
      <c r="A17" s="1" t="s">
        <v>17</v>
      </c>
    </row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18</v>
      </c>
      <c r="B1" t="s">
        <v>1</v>
      </c>
      <c r="C1" t="s">
        <v>2</v>
      </c>
    </row>
    <row r="2" ht="15.75" customHeight="1">
      <c r="A2" s="1" t="s">
        <v>13</v>
      </c>
      <c r="B2" s="3">
        <v>53.72</v>
      </c>
    </row>
    <row r="3" ht="15.75" customHeight="1">
      <c r="A3" t="s">
        <v>4</v>
      </c>
      <c r="B3" s="1">
        <v>65.37</v>
      </c>
    </row>
    <row r="4" ht="15.75" customHeight="1">
      <c r="A4" t="s">
        <v>5</v>
      </c>
      <c r="B4" s="1">
        <v>31.56</v>
      </c>
    </row>
    <row r="5" ht="15.75" customHeight="1">
      <c r="A5" s="1" t="s">
        <v>3</v>
      </c>
      <c r="B5" s="1">
        <v>61.55</v>
      </c>
    </row>
    <row r="6" ht="15.75" customHeight="1">
      <c r="A6" t="s">
        <v>7</v>
      </c>
      <c r="B6" s="1">
        <v>236.7</v>
      </c>
    </row>
    <row r="7" ht="15.75" customHeight="1">
      <c r="A7" t="s">
        <v>8</v>
      </c>
    </row>
    <row r="8" ht="15.75" customHeight="1">
      <c r="A8" t="s">
        <v>9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19</v>
      </c>
    </row>
    <row r="13" ht="15.75" customHeight="1">
      <c r="A13" t="s">
        <v>20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304.96</v>
      </c>
      <c r="C16">
        <f>sum(C3:C14)</f>
        <v>0</v>
      </c>
      <c r="D16">
        <f>C16-B16</f>
        <v>-304.96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18</v>
      </c>
      <c r="B1" t="s">
        <v>1</v>
      </c>
      <c r="C1" t="s">
        <v>2</v>
      </c>
    </row>
    <row r="2" ht="15.75" customHeight="1">
      <c r="A2" t="s">
        <v>21</v>
      </c>
      <c r="B2" s="1">
        <v>919.0</v>
      </c>
    </row>
    <row r="3" ht="15.75" customHeight="1">
      <c r="A3" t="s">
        <v>4</v>
      </c>
      <c r="B3" s="1">
        <v>50.31</v>
      </c>
    </row>
    <row r="4" ht="15.75" customHeight="1">
      <c r="A4" t="s">
        <v>5</v>
      </c>
      <c r="B4" s="1">
        <v>82.04</v>
      </c>
    </row>
    <row r="5" ht="15.75" customHeight="1"/>
    <row r="6" ht="15.75" customHeight="1">
      <c r="A6" t="s">
        <v>7</v>
      </c>
      <c r="B6" s="1">
        <v>30.0</v>
      </c>
    </row>
    <row r="7" ht="15.75" customHeight="1">
      <c r="A7" t="s">
        <v>8</v>
      </c>
    </row>
    <row r="8" ht="15.75" customHeight="1">
      <c r="A8" t="s">
        <v>9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19</v>
      </c>
    </row>
    <row r="13" ht="15.75" customHeight="1">
      <c r="A13" t="s">
        <v>20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1206.35</v>
      </c>
      <c r="C15">
        <f t="shared" si="1"/>
        <v>0</v>
      </c>
      <c r="D15">
        <f>C15-B15</f>
        <v>-1206.35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18</v>
      </c>
      <c r="B1" t="s">
        <v>1</v>
      </c>
      <c r="C1" t="s">
        <v>2</v>
      </c>
    </row>
    <row r="2" ht="15.75" customHeight="1">
      <c r="A2" t="s">
        <v>21</v>
      </c>
    </row>
    <row r="3" ht="15.75" customHeight="1">
      <c r="A3" t="s">
        <v>4</v>
      </c>
      <c r="B3" s="1">
        <v>43.34</v>
      </c>
    </row>
    <row r="4" ht="15.75" customHeight="1">
      <c r="A4" s="1" t="s">
        <v>22</v>
      </c>
      <c r="B4" s="1">
        <v>95.18</v>
      </c>
    </row>
    <row r="5" ht="15.75" customHeight="1">
      <c r="A5" s="1" t="s">
        <v>23</v>
      </c>
      <c r="B5" s="1">
        <v>33.5</v>
      </c>
    </row>
    <row r="6" ht="15.75" customHeight="1">
      <c r="A6" t="s">
        <v>7</v>
      </c>
      <c r="B6" s="1">
        <v>49.95</v>
      </c>
    </row>
    <row r="7" ht="15.75" customHeight="1">
      <c r="A7" t="s">
        <v>8</v>
      </c>
    </row>
    <row r="8" ht="15.75" customHeight="1">
      <c r="A8" t="s">
        <v>9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19</v>
      </c>
    </row>
    <row r="13" ht="15.75" customHeight="1">
      <c r="A13" t="s">
        <v>20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352.37</v>
      </c>
      <c r="C15">
        <f>sum(C2:C13)</f>
        <v>0</v>
      </c>
      <c r="D15" s="1">
        <v>1597.63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s="1">
        <v>14.0</v>
      </c>
      <c r="B1" t="s">
        <v>1</v>
      </c>
      <c r="C1" t="s">
        <v>2</v>
      </c>
    </row>
    <row r="2" ht="15.75" customHeight="1">
      <c r="A2" t="s">
        <v>21</v>
      </c>
    </row>
    <row r="3" ht="15.75" customHeight="1">
      <c r="A3" t="s">
        <v>4</v>
      </c>
    </row>
    <row r="4" ht="15.75" customHeight="1">
      <c r="A4" t="s">
        <v>5</v>
      </c>
      <c r="B4" s="1">
        <v>237.0</v>
      </c>
    </row>
    <row r="5" ht="15.75" customHeight="1"/>
    <row r="6" ht="15.75" customHeight="1">
      <c r="A6" t="s">
        <v>7</v>
      </c>
      <c r="B6" s="1">
        <v>55.0</v>
      </c>
    </row>
    <row r="7" ht="15.75" customHeight="1">
      <c r="A7" t="s">
        <v>8</v>
      </c>
    </row>
    <row r="8" ht="15.75" customHeight="1">
      <c r="A8" t="s">
        <v>9</v>
      </c>
    </row>
    <row r="9" ht="15.75" customHeight="1">
      <c r="A9" t="s">
        <v>10</v>
      </c>
      <c r="B9" s="1">
        <v>415.0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19</v>
      </c>
    </row>
    <row r="13" ht="15.75" customHeight="1">
      <c r="A13" t="s">
        <v>20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1057</v>
      </c>
      <c r="C15">
        <f t="shared" si="1"/>
        <v>0</v>
      </c>
      <c r="D15">
        <f>C15-B15</f>
        <v>-1057</v>
      </c>
    </row>
    <row r="16" ht="15.75" customHeight="1"/>
    <row r="17" ht="15.75" customHeight="1"/>
    <row r="18" ht="15.75" customHeight="1">
      <c r="A18" s="1" t="s">
        <v>24</v>
      </c>
    </row>
    <row r="19" ht="15.75" customHeight="1">
      <c r="A19" s="1" t="s">
        <v>25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18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3472.29</v>
      </c>
      <c r="C4">
        <f>sum('260 East Taylors Crossing'!C15+'5525 Taylor Road'!C16+'4645 valais ct'!C15+'1120 Lauren way'!C15+'115 Peachtree Memorial Drive'!C15)</f>
        <v>0</v>
      </c>
      <c r="D4">
        <f>sum('260 East Taylors Crossing'!D15+'5525 Taylor Road'!D16+'4645 valais ct'!D15+'1120 Lauren way'!D15+'115 Peachtree Memorial Drive'!D15)</f>
        <v>-1522.29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