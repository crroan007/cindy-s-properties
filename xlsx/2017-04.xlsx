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Totals" sheetId="4" r:id="rId7"/>
  </sheets>
  <definedNames/>
  <calcPr/>
</workbook>
</file>

<file path=xl/sharedStrings.xml><?xml version="1.0" encoding="utf-8"?>
<sst xmlns="http://schemas.openxmlformats.org/spreadsheetml/2006/main" count="59" uniqueCount="20">
  <si>
    <t>Line Item</t>
  </si>
  <si>
    <t>Debits</t>
  </si>
  <si>
    <t>Credits</t>
  </si>
  <si>
    <t>republic trash service</t>
  </si>
  <si>
    <t>Gas</t>
  </si>
  <si>
    <t>Electricity</t>
  </si>
  <si>
    <t>water/sewage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</si>
  <si>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</si>
  <si>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</si>
  <si>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</si>
  <si>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</si>
  <si>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</si>
  <si>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</si>
  <si>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</si>
  <si>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hoa</t>
  </si>
  <si>
    <t>Total</t>
  </si>
  <si>
    <t>Net</t>
  </si>
  <si>
    <t>water.sewage</t>
  </si>
  <si>
    <t>waste mgmt</t>
  </si>
  <si>
    <t>mortgage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</si>
</sst>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49.87</v>
      </c>
    </row>
    <row r="3">
      <c r="A3" s="1" t="s">
        <v>4</v>
      </c>
      <c r="B3" s="1">
        <v>62.33</v>
      </c>
    </row>
    <row r="4">
      <c r="A4" s="1" t="s">
        <v>5</v>
      </c>
      <c r="B4" s="1">
        <v>52.08</v>
      </c>
    </row>
    <row r="5">
      <c r="A5" s="1" t="s">
        <v>6</v>
      </c>
      <c r="B5" s="1">
        <v>43.24</v>
      </c>
    </row>
    <row r="6">
      <c r="A6" s="1" t="s">
        <v>7</v>
      </c>
      <c r="B6" s="1">
        <v>59.99</v>
      </c>
    </row>
    <row r="7">
      <c r="A7" s="1" t="s">
        <v>8</v>
      </c>
      <c r="B7" s="1">
        <v>80.0</v>
      </c>
    </row>
    <row r="8">
      <c r="A8" s="1" t="s">
        <v>9</v>
      </c>
      <c r="C8" s="1">
        <v>1925.0</v>
      </c>
    </row>
    <row r="9">
      <c r="A9" s="1" t="s">
        <v>10</v>
      </c>
      <c r="B9" s="1"/>
      <c r="C9" s="1"/>
    </row>
    <row r="10">
      <c r="A10" s="1" t="s">
        <v>11</v>
      </c>
      <c r="B10" s="1">
        <v>20.0</v>
      </c>
    </row>
    <row r="11">
      <c r="A11" s="1" t="s">
        <v>12</v>
      </c>
    </row>
    <row r="12">
      <c r="A12" s="1" t="s">
        <v>13</v>
      </c>
    </row>
    <row r="13">
      <c r="A13" s="1" t="s">
        <v>14</v>
      </c>
      <c r="B13" s="1">
        <v>250.0</v>
      </c>
    </row>
    <row r="14">
      <c r="B14" s="1" t="s">
        <v>15</v>
      </c>
      <c r="C14" s="1" t="s">
        <v>15</v>
      </c>
      <c r="D14" s="1" t="s">
        <v>16</v>
      </c>
    </row>
    <row r="15">
      <c r="B15" s="1">
        <f t="shared" ref="B15:C15" si="1">sum(B2:B13)</f>
        <v>617.51</v>
      </c>
      <c r="C15" s="1">
        <f t="shared" si="1"/>
        <v>1925</v>
      </c>
      <c r="D15" s="1">
        <f>C15-B15</f>
        <v>1307.49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17</v>
      </c>
      <c r="B2" s="1">
        <v>152.57</v>
      </c>
    </row>
    <row r="3">
      <c r="A3" s="1" t="s">
        <v>4</v>
      </c>
      <c r="B3" s="1">
        <v>57.41</v>
      </c>
    </row>
    <row r="4">
      <c r="A4" s="1" t="s">
        <v>5</v>
      </c>
      <c r="B4" s="1">
        <v>127.4</v>
      </c>
    </row>
    <row r="5">
      <c r="A5" s="1" t="s">
        <v>18</v>
      </c>
      <c r="B5" s="1">
        <v>51.96</v>
      </c>
    </row>
    <row r="6">
      <c r="A6" s="1" t="s">
        <v>7</v>
      </c>
      <c r="B6" s="1">
        <v>166.48</v>
      </c>
    </row>
    <row r="7">
      <c r="A7" s="1" t="s">
        <v>8</v>
      </c>
      <c r="B7" s="1">
        <v>60.0</v>
      </c>
    </row>
    <row r="8">
      <c r="A8" s="1" t="s">
        <v>9</v>
      </c>
      <c r="C8" s="1">
        <v>2083.0</v>
      </c>
    </row>
    <row r="9">
      <c r="A9" s="1" t="s">
        <v>10</v>
      </c>
      <c r="B9" s="1">
        <v>40.0</v>
      </c>
    </row>
    <row r="10">
      <c r="A10" s="1" t="s">
        <v>11</v>
      </c>
      <c r="B10" s="1">
        <v>30.0</v>
      </c>
    </row>
    <row r="11">
      <c r="A11" s="1" t="s">
        <v>12</v>
      </c>
      <c r="B11" s="1"/>
    </row>
    <row r="12">
      <c r="A12" s="1" t="s">
        <v>13</v>
      </c>
      <c r="B12" s="1">
        <v>40.0</v>
      </c>
    </row>
    <row r="13">
      <c r="A13" s="1" t="s">
        <v>14</v>
      </c>
    </row>
    <row r="14">
      <c r="A14" s="1"/>
    </row>
    <row r="15">
      <c r="B15" s="1" t="s">
        <v>15</v>
      </c>
      <c r="C15" s="1" t="s">
        <v>15</v>
      </c>
      <c r="D15" s="1" t="s">
        <v>16</v>
      </c>
    </row>
    <row r="16">
      <c r="B16" s="1">
        <f t="shared" ref="B16:C16" si="1">sum(B3:B14)</f>
        <v>573.25</v>
      </c>
      <c r="C16" s="1">
        <f t="shared" si="1"/>
        <v>2083</v>
      </c>
      <c r="D16" s="1">
        <f>C16-B16</f>
        <v>1509.75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19</v>
      </c>
      <c r="B2" s="1">
        <v>819.0</v>
      </c>
    </row>
    <row r="3">
      <c r="A3" s="1" t="s">
        <v>4</v>
      </c>
      <c r="B3" s="1">
        <v>44.53</v>
      </c>
    </row>
    <row r="4">
      <c r="A4" s="1" t="s">
        <v>5</v>
      </c>
      <c r="B4" s="1">
        <v>55.5</v>
      </c>
    </row>
    <row r="5">
      <c r="A5" s="1"/>
    </row>
    <row r="6">
      <c r="A6" s="1" t="s">
        <v>7</v>
      </c>
      <c r="B6" s="1">
        <v>59.99</v>
      </c>
      <c r="C6" s="1"/>
    </row>
    <row r="7">
      <c r="A7" s="1" t="s">
        <v>8</v>
      </c>
    </row>
    <row r="8">
      <c r="A8" s="1" t="s">
        <v>9</v>
      </c>
      <c r="C8" s="1">
        <v>1261.0</v>
      </c>
    </row>
    <row r="9">
      <c r="A9" s="1" t="s">
        <v>10</v>
      </c>
      <c r="B9" s="1">
        <v>20.0</v>
      </c>
    </row>
    <row r="10">
      <c r="A10" s="1" t="s">
        <v>11</v>
      </c>
      <c r="B10" s="1">
        <v>60.0</v>
      </c>
    </row>
    <row r="11">
      <c r="A11" s="1" t="s">
        <v>12</v>
      </c>
      <c r="B11" s="1"/>
    </row>
    <row r="12">
      <c r="A12" s="1" t="s">
        <v>13</v>
      </c>
      <c r="B12" s="1"/>
    </row>
    <row r="13">
      <c r="A13" s="1" t="s">
        <v>14</v>
      </c>
      <c r="B13" s="1">
        <v>125.0</v>
      </c>
    </row>
    <row r="14">
      <c r="B14" s="1" t="s">
        <v>15</v>
      </c>
      <c r="C14" s="1" t="s">
        <v>15</v>
      </c>
      <c r="D14" s="1" t="s">
        <v>16</v>
      </c>
    </row>
    <row r="15">
      <c r="B15" s="1">
        <f t="shared" ref="B15:C15" si="1">sum(B2:B13)</f>
        <v>1184.02</v>
      </c>
      <c r="C15" s="1">
        <f t="shared" si="1"/>
        <v>1261</v>
      </c>
      <c r="D15" s="1">
        <f>C15-B15</f>
        <v>76.98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B2" s="1"/>
      <c r="C2" s="1"/>
      <c r="D2" s="1"/>
    </row>
    <row r="3">
      <c r="B3" s="1" t="s">
        <v>15</v>
      </c>
      <c r="C3" s="1" t="s">
        <v>15</v>
      </c>
      <c r="D3" s="1" t="s">
        <v>16</v>
      </c>
    </row>
    <row r="4">
      <c r="B4">
        <f>'260 East Taylors Crossing'!B15+'5525 Taylor Road'!B16+'4645 valais ct'!B15</f>
        <v>2374.78</v>
      </c>
      <c r="C4">
        <f>'260 East Taylors Crossing'!C15+'5525 Taylor Road'!C16+'4645 valais ct'!C15</f>
        <v>5269</v>
      </c>
      <c r="D4">
        <f>C4-B4</f>
        <v>2894.22</v>
      </c>
    </row>
  </sheetData>
  <drawing r:id="rId1"/>
</worksheet>
</file>